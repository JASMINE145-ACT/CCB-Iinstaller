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3" r:id="rId1"/>
  </sheets>
  <externalReferences>
    <externalReference r:id="rId2"/>
  </externalReferences>
  <definedNames>
    <definedName name="_xlnm._FilterDatabase" localSheetId="0" hidden="1">Sheet1!$A$7:$O$71</definedName>
    <definedName name="_xlnm.Print_Area" localSheetId="0">Sheet1!$A$1:$O$71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5F16E92F4164DD3808EB5806117DC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469225" cy="12496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310BCAB92505492DB393CF79309F500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586835" y="64808100"/>
          <a:ext cx="1552575" cy="1666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D762A14AE084F258A03B4C4432AB56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586835" y="65824100"/>
          <a:ext cx="1809750" cy="1657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611E2F7BDC3411C9D54C9B0C3D903C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586835" y="57696100"/>
          <a:ext cx="3924300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A0F5DF1EE69948DCA8060B0199DDAFC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586835" y="17056100"/>
          <a:ext cx="2771775" cy="3200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A795FFADFCFE45248E1BDD65B948AE2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586835" y="28232100"/>
          <a:ext cx="3228975" cy="2343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5324B4CA577F40F79D0854AE95EAC2B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586835" y="20104100"/>
          <a:ext cx="3114675" cy="2305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9BBD092970FF48ABAA27E100FD34BE6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586835" y="40424100"/>
          <a:ext cx="2857500" cy="2400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41FA737B82EC4BCB811485D56B04316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586835" y="46520100"/>
          <a:ext cx="3228975" cy="2343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678C06D8FD2743858F179D7FABF1A44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586835" y="14008100"/>
          <a:ext cx="1714500" cy="1314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9B50CA48978940CE99789BC2AF98BF8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586835" y="23152100"/>
          <a:ext cx="3190875" cy="417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AF0BB8897B7642498ACC2BCBEF02CE2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586835" y="53632100"/>
          <a:ext cx="1600200" cy="1495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3737CE24C50E4053AAD262A872EA4A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597910" y="77076300"/>
          <a:ext cx="10820400" cy="15716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<sst xmlns="http://schemas.openxmlformats.org/spreadsheetml/2006/main" count="351" uniqueCount="118">
  <si>
    <t>PT. VANTSING INTERNATIONAL GROUP</t>
  </si>
  <si>
    <t>Address 地址：                        Soldays X Lesso    Jl. Raya Daan Mogot No 1 RT 06 Rw 02, Samping Rusun Polri RQR9 H7P RT06RW02,
                                                                                       North Kedoya Kebonjeruk, West Jakarta, DKI Jakarta, 11520.</t>
  </si>
  <si>
    <t>万鼎</t>
  </si>
  <si>
    <t>Contact Person联系人：Rubi                                       Contact Number / 联系电话 ： +62 878-2061-8709                                                     Mail：vantsing@vtintl.id</t>
  </si>
  <si>
    <r>
      <rPr>
        <b/>
        <sz val="48"/>
        <color theme="1"/>
        <rFont val="微软雅黑"/>
        <charset val="134"/>
      </rPr>
      <t>报价单</t>
    </r>
    <r>
      <rPr>
        <b/>
        <sz val="20"/>
        <color theme="1"/>
        <rFont val="微软雅黑"/>
        <charset val="134"/>
      </rPr>
      <t xml:space="preserve">
PENAWARAN HARGA</t>
    </r>
  </si>
  <si>
    <t>NO</t>
  </si>
  <si>
    <t>Nama Permintaan</t>
  </si>
  <si>
    <t>Spesifikasi
Permintaan</t>
  </si>
  <si>
    <t>Satuan</t>
  </si>
  <si>
    <t>QTY</t>
  </si>
  <si>
    <t>Product
number</t>
  </si>
  <si>
    <t>Nama Penawaran</t>
  </si>
  <si>
    <t>Nama Indonesia</t>
  </si>
  <si>
    <t>Spesifikasi
Penawaran</t>
  </si>
  <si>
    <t>Brand</t>
  </si>
  <si>
    <t>Harga</t>
  </si>
  <si>
    <t>Total Harga</t>
  </si>
  <si>
    <t>Catatan</t>
  </si>
  <si>
    <t>序号</t>
  </si>
  <si>
    <t>询价名称</t>
  </si>
  <si>
    <t>询价规格</t>
  </si>
  <si>
    <t>单位</t>
  </si>
  <si>
    <t>数量</t>
  </si>
  <si>
    <t>产品编号</t>
  </si>
  <si>
    <t>报价名称</t>
  </si>
  <si>
    <t>印尼名称</t>
  </si>
  <si>
    <t>报价规格</t>
  </si>
  <si>
    <t>品牌</t>
  </si>
  <si>
    <t>单价</t>
  </si>
  <si>
    <t>总额</t>
  </si>
  <si>
    <t>备注</t>
  </si>
  <si>
    <t>排水管</t>
  </si>
  <si>
    <t>根</t>
  </si>
  <si>
    <t>dn160</t>
  </si>
  <si>
    <t>4M/根</t>
  </si>
  <si>
    <t>联塑</t>
  </si>
  <si>
    <t>现货</t>
  </si>
  <si>
    <t>150直通</t>
  </si>
  <si>
    <t>个</t>
  </si>
  <si>
    <t>150 三通</t>
  </si>
  <si>
    <t>90度弯头</t>
  </si>
  <si>
    <t>45度弯头</t>
  </si>
  <si>
    <t>150管夹</t>
  </si>
  <si>
    <t>150变110 
直通</t>
  </si>
  <si>
    <t>dn110</t>
  </si>
  <si>
    <t>存水弯，带检修盖110</t>
  </si>
  <si>
    <t>110斜三通</t>
  </si>
  <si>
    <t>110正三通</t>
  </si>
  <si>
    <t>110直通</t>
  </si>
  <si>
    <t>无货</t>
  </si>
  <si>
    <t>90度弯头，带检修口</t>
  </si>
  <si>
    <t>100变50三通</t>
  </si>
  <si>
    <t>90°异径三通PVC-U排水配件白色 dn110×50</t>
  </si>
  <si>
    <t>dn110×50</t>
  </si>
  <si>
    <t>100变50直通</t>
  </si>
  <si>
    <t>大小头PVC-U排水配件白色 dn110×50</t>
  </si>
  <si>
    <t>50正三通</t>
  </si>
  <si>
    <t>90°顺水三通(等径三通)PVC-U排水配件白色 dn50</t>
  </si>
  <si>
    <t>dn50</t>
  </si>
  <si>
    <t>分两片管卡</t>
  </si>
  <si>
    <t>直通</t>
  </si>
  <si>
    <t>dn75</t>
  </si>
  <si>
    <t>存水弯，带检修盖50</t>
  </si>
  <si>
    <t>50斜三通</t>
  </si>
  <si>
    <t>50直通</t>
  </si>
  <si>
    <t>50U型管卡</t>
  </si>
  <si>
    <t>ppr</t>
  </si>
  <si>
    <t>50变40直通</t>
  </si>
  <si>
    <t>dn50x40</t>
  </si>
  <si>
    <t>PPR管</t>
  </si>
  <si>
    <t>dn40</t>
  </si>
  <si>
    <t>正三通</t>
  </si>
  <si>
    <t>40变25三通</t>
  </si>
  <si>
    <t>90°异径三通(PPR 配件)印尼绿色 dn40x25 (1-1/4"x3/4") 联塑</t>
  </si>
  <si>
    <t>dn40x25</t>
  </si>
  <si>
    <t>40变25直通</t>
  </si>
  <si>
    <t>异径套(PPR 配件)印尼绿色 dn40x25 (1-1/4"x3/4") 联塑</t>
  </si>
  <si>
    <t>40管夹</t>
  </si>
  <si>
    <t>O型分半管夹</t>
  </si>
  <si>
    <t>40管夹 ppr</t>
  </si>
  <si>
    <t>U型不锈钢管卡</t>
  </si>
  <si>
    <t>dn25</t>
  </si>
  <si>
    <t>弯头</t>
  </si>
  <si>
    <t>三通</t>
  </si>
  <si>
    <t>U型管卡</t>
  </si>
  <si>
    <t>管卡(PPR 配件)印尼绿色 dn25 (3/4") 联塑</t>
  </si>
  <si>
    <t>PPR Pipe Clamp dn25 (3/4") Green(INA) - LESSO</t>
  </si>
  <si>
    <t>25三通中部内牙变为20（可安装水龙头）</t>
  </si>
  <si>
    <t>25 90度内牙变为20（可安装水龙头）</t>
  </si>
  <si>
    <t>生料带</t>
  </si>
  <si>
    <t>卷</t>
  </si>
  <si>
    <t>GPR-EQ07E01001</t>
  </si>
  <si>
    <t>PVC排水管胶水</t>
  </si>
  <si>
    <t>大胶水</t>
  </si>
  <si>
    <t>瓶</t>
  </si>
  <si>
    <t>GPR-LL02L00004</t>
  </si>
  <si>
    <t>PVC线管</t>
  </si>
  <si>
    <t>20MM直径</t>
  </si>
  <si>
    <t>条</t>
  </si>
  <si>
    <t>弯管弹簧</t>
  </si>
  <si>
    <t>100变 50的补芯</t>
  </si>
  <si>
    <t>dn110x50</t>
  </si>
  <si>
    <t>100堵头封盖</t>
  </si>
  <si>
    <t>150堵头封盖</t>
  </si>
  <si>
    <t>Total Excluding PPN不含税总价</t>
  </si>
  <si>
    <t>是否含PPN 11%/ Inc.or Exc.PPN 11%</t>
  </si>
  <si>
    <t>运费支付Freight Payment</t>
  </si>
  <si>
    <t>Total Include PPN (11%)含税总价</t>
  </si>
  <si>
    <r>
      <rPr>
        <b/>
        <sz val="16"/>
        <rFont val="微软雅黑"/>
        <charset val="134"/>
      </rPr>
      <t>交货地点</t>
    </r>
    <r>
      <rPr>
        <b/>
        <sz val="16"/>
        <rFont val="Arial"/>
        <charset val="134"/>
      </rPr>
      <t xml:space="preserve"> / Franco / Pengiriman</t>
    </r>
  </si>
  <si>
    <r>
      <rPr>
        <b/>
        <sz val="16"/>
        <rFont val="Arial"/>
        <charset val="134"/>
      </rPr>
      <t xml:space="preserve">Perusahaan yang memberikan penawaran
</t>
    </r>
    <r>
      <rPr>
        <b/>
        <sz val="16"/>
        <rFont val="微软雅黑"/>
        <charset val="134"/>
      </rPr>
      <t>报价公司名称</t>
    </r>
  </si>
  <si>
    <t>Tanggal Penawaran 
报价日期</t>
  </si>
  <si>
    <r>
      <rPr>
        <b/>
        <sz val="16"/>
        <rFont val="Arial"/>
        <charset val="134"/>
      </rPr>
      <t xml:space="preserve">Petugas Pengisian Formulir                                                               </t>
    </r>
    <r>
      <rPr>
        <b/>
        <sz val="16"/>
        <rFont val="宋体"/>
        <charset val="134"/>
      </rPr>
      <t>报单人员</t>
    </r>
  </si>
  <si>
    <t>Petugas Pengecekkan           审查人员/紧急联系人</t>
  </si>
  <si>
    <t>Yane Fahira：082389223344</t>
  </si>
  <si>
    <r>
      <rPr>
        <b/>
        <sz val="18"/>
        <color rgb="FFFF0000"/>
        <rFont val="微软雅黑"/>
        <charset val="134"/>
      </rPr>
      <t xml:space="preserve">1、备注：LALAMOVE，运费客户支付（lalamove，Freight paid by the customer）
</t>
    </r>
    <r>
      <rPr>
        <b/>
        <sz val="18"/>
        <rFont val="微软雅黑"/>
        <charset val="134"/>
      </rPr>
      <t>2、Delivery Time 交货时间：
3、Packaging包装：
4、Guarantee 保证：卖方保证所售商品的质量和安全，所售商品不存在任何缺陷或损坏。 买方需要在收到货物后最多 2 天检查已收到的货物。
5、Payment Methode：Pembayaran 100% sebelum pengiriman 
     付款方式： 出货前100%付款
6、Account Name 账户名称：PT. Vantsing International Group
     Account No账号：268-0321666
     Bank 银行：Bank Central Asia KCP Grogol Muwardi
     Branch 分行：Jl. Muwardi I No.44, RT.1/RW.4, Grogol, Kec. Grogol petamburan, Kota Jakarta Barat, Daerah Khusus Ibukota Jakarta 11460</t>
    </r>
  </si>
  <si>
    <t>This Purchase Order is made and signed on the day and date as stated, made in 2 (two) original copies signed by the parties with sufficient stamp duty, each of which has the same binding legal force.
本采购订单于规定日期签署，一式两（2）份原件，由双方签字并加盖足够的印花税，每份具有同等的法律约束力。</t>
  </si>
  <si>
    <t>Buyer 购买方</t>
  </si>
  <si>
    <t>Seller出售方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</si>
</sst>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);\(#,##0.0\)"/>
    <numFmt numFmtId="177" formatCode="[$Rp-421]#,##0;\-[$Rp-421]#,##0"/>
    <numFmt numFmtId="178" formatCode="[$Rp-421]#,##0_);[Red]\([$Rp-421]#,##0\)"/>
    <numFmt numFmtId="179" formatCode="yyyy/m/d;@"/>
  </numFmts>
  <fonts count="43">
    <font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sz val="10"/>
      <name val="Arial"/>
      <charset val="134"/>
    </font>
    <font>
      <b/>
      <sz val="72"/>
      <color rgb="FFFF0000"/>
      <name val="宋体"/>
      <charset val="134"/>
    </font>
    <font>
      <b/>
      <sz val="62"/>
      <name val="宋体"/>
      <charset val="134"/>
    </font>
    <font>
      <b/>
      <sz val="22"/>
      <name val="微软雅黑"/>
      <charset val="134"/>
    </font>
    <font>
      <b/>
      <sz val="18"/>
      <name val="微软雅黑"/>
      <charset val="134"/>
    </font>
    <font>
      <sz val="72"/>
      <name val="华文仿宋"/>
      <charset val="134"/>
    </font>
    <font>
      <b/>
      <sz val="18"/>
      <color theme="1"/>
      <name val="微软雅黑"/>
      <charset val="134"/>
    </font>
    <font>
      <b/>
      <sz val="48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b/>
      <sz val="14"/>
      <name val="微软雅黑"/>
      <charset val="134"/>
    </font>
    <font>
      <sz val="18"/>
      <color rgb="FF000000"/>
      <name val="Segoe UI"/>
      <charset val="134"/>
    </font>
    <font>
      <b/>
      <sz val="16"/>
      <name val="微软雅黑"/>
      <charset val="134"/>
    </font>
    <font>
      <sz val="16"/>
      <name val="等线"/>
      <charset val="134"/>
      <scheme val="minor"/>
    </font>
    <font>
      <sz val="12"/>
      <name val="Arial"/>
      <charset val="134"/>
    </font>
    <font>
      <b/>
      <sz val="16"/>
      <name val="Arial"/>
      <charset val="134"/>
    </font>
    <font>
      <b/>
      <sz val="12"/>
      <name val="Arial"/>
      <charset val="134"/>
    </font>
    <font>
      <b/>
      <sz val="24"/>
      <name val="微软雅黑"/>
      <charset val="134"/>
    </font>
    <font>
      <b/>
      <sz val="18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6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" borderId="2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28" applyNumberFormat="0" applyAlignment="0" applyProtection="0">
      <alignment vertical="center"/>
    </xf>
    <xf numFmtId="0" fontId="32" fillId="5" borderId="29" applyNumberFormat="0" applyAlignment="0" applyProtection="0">
      <alignment vertical="center"/>
    </xf>
    <xf numFmtId="0" fontId="33" fillId="5" borderId="28" applyNumberFormat="0" applyAlignment="0" applyProtection="0">
      <alignment vertical="center"/>
    </xf>
    <xf numFmtId="0" fontId="34" fillId="6" borderId="30" applyNumberFormat="0" applyAlignment="0" applyProtection="0">
      <alignment vertical="center"/>
    </xf>
    <xf numFmtId="0" fontId="35" fillId="0" borderId="31" applyNumberFormat="0" applyFill="0" applyAlignment="0" applyProtection="0">
      <alignment vertical="center"/>
    </xf>
    <xf numFmtId="0" fontId="36" fillId="0" borderId="32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176" fontId="0" fillId="0" borderId="0">
      <alignment vertical="center"/>
    </xf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0" fillId="0" borderId="0" xfId="0" applyBorder="1"/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77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49" fontId="13" fillId="0" borderId="7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178" fontId="13" fillId="0" borderId="7" xfId="0" applyNumberFormat="1" applyFont="1" applyFill="1" applyBorder="1" applyAlignment="1">
      <alignment horizontal="center" vertical="center" wrapText="1"/>
    </xf>
    <xf numFmtId="177" fontId="13" fillId="0" borderId="7" xfId="0" applyNumberFormat="1" applyFont="1" applyFill="1" applyBorder="1" applyAlignment="1">
      <alignment horizontal="center" vertical="center" wrapText="1"/>
    </xf>
    <xf numFmtId="177" fontId="12" fillId="0" borderId="7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14" fillId="0" borderId="6" xfId="50" applyNumberFormat="1" applyFont="1" applyFill="1" applyBorder="1" applyAlignment="1">
      <alignment horizontal="center" vertical="center" wrapText="1"/>
    </xf>
    <xf numFmtId="49" fontId="15" fillId="0" borderId="7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49" fontId="12" fillId="0" borderId="7" xfId="0" applyNumberFormat="1" applyFont="1" applyFill="1" applyBorder="1" applyAlignment="1">
      <alignment horizontal="center" vertical="center" wrapText="1"/>
    </xf>
    <xf numFmtId="0" fontId="14" fillId="0" borderId="7" xfId="50" applyNumberFormat="1" applyFont="1" applyFill="1" applyBorder="1" applyAlignment="1">
      <alignment horizontal="center" vertical="center" wrapText="1"/>
    </xf>
    <xf numFmtId="0" fontId="12" fillId="0" borderId="7" xfId="50" applyNumberFormat="1" applyFont="1" applyFill="1" applyBorder="1" applyAlignment="1">
      <alignment horizontal="center" vertical="center" wrapText="1"/>
    </xf>
    <xf numFmtId="0" fontId="16" fillId="0" borderId="6" xfId="50" applyNumberFormat="1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/>
    </xf>
    <xf numFmtId="0" fontId="19" fillId="0" borderId="6" xfId="50" applyNumberFormat="1" applyFont="1" applyFill="1" applyBorder="1" applyAlignment="1">
      <alignment horizontal="center" vertical="center" wrapText="1"/>
    </xf>
    <xf numFmtId="0" fontId="20" fillId="0" borderId="7" xfId="50" applyNumberFormat="1" applyFont="1" applyFill="1" applyBorder="1" applyAlignment="1">
      <alignment horizontal="center" vertical="center" wrapText="1"/>
    </xf>
    <xf numFmtId="0" fontId="16" fillId="0" borderId="7" xfId="50" applyNumberFormat="1" applyFont="1" applyFill="1" applyBorder="1" applyAlignment="1">
      <alignment horizontal="center" vertical="center" wrapText="1"/>
    </xf>
    <xf numFmtId="179" fontId="6" fillId="0" borderId="7" xfId="50" applyNumberFormat="1" applyFont="1" applyFill="1" applyBorder="1" applyAlignment="1">
      <alignment horizontal="center" vertical="center" wrapText="1"/>
    </xf>
    <xf numFmtId="179" fontId="6" fillId="0" borderId="8" xfId="50" applyNumberFormat="1" applyFont="1" applyFill="1" applyBorder="1" applyAlignment="1">
      <alignment horizontal="center" vertical="center" wrapText="1"/>
    </xf>
    <xf numFmtId="179" fontId="20" fillId="0" borderId="0" xfId="50" applyNumberFormat="1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1" fillId="0" borderId="19" xfId="50" applyNumberFormat="1" applyFont="1" applyFill="1" applyBorder="1" applyAlignment="1">
      <alignment horizontal="center" vertical="center" wrapText="1"/>
    </xf>
    <xf numFmtId="0" fontId="21" fillId="0" borderId="20" xfId="50" applyNumberFormat="1" applyFont="1" applyFill="1" applyBorder="1" applyAlignment="1">
      <alignment horizontal="center" vertical="center" wrapText="1"/>
    </xf>
    <xf numFmtId="0" fontId="21" fillId="0" borderId="21" xfId="5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2" fillId="0" borderId="6" xfId="0" applyFont="1" applyFill="1" applyBorder="1" applyAlignment="1">
      <alignment horizontal="left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22" fillId="0" borderId="8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 3" xfId="49"/>
    <cellStyle name="Normal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28F871"/>
      <color rgb="00FF0000"/>
      <color rgb="00FFFFFF"/>
      <color rgb="00FFFF0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PDATE%20PRICE%202026.05.15%20&#40718;&#22269;&#38469;&#38598;&#22242;&#26368;&#26032;&#20215;&#26684;&#24211;&#26356;&#2603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ESSO管材"/>
      <sheetName val="LESSO GREY PIPE"/>
      <sheetName val="国标管件 1"/>
      <sheetName val="产品信息 (CEILING)"/>
      <sheetName val="ag-grid"/>
      <sheetName val="RUCIKA"/>
      <sheetName val="Sheet1"/>
      <sheetName val="Sheet2"/>
    </sheetNames>
    <sheetDataSet>
      <sheetData sheetId="0">
        <row r="1">
          <cell r="G1" t="str">
            <v>INCLUDE TAX
出厂价_含税</v>
          </cell>
          <cell r="H1" t="str">
            <v>EXCLUDE TAX
出厂价_不含税</v>
          </cell>
          <cell r="I1" t="str">
            <v>（二级代理）A级别</v>
          </cell>
        </row>
        <row r="1">
          <cell r="K1" t="str">
            <v>（一级代理）B级别</v>
          </cell>
        </row>
        <row r="2">
          <cell r="C2" t="str">
            <v>Material</v>
          </cell>
          <cell r="D2" t="str">
            <v>Describrition</v>
          </cell>
          <cell r="E2" t="str">
            <v>Describrition_English</v>
          </cell>
        </row>
        <row r="2">
          <cell r="I2" t="str">
            <v>利润率</v>
          </cell>
          <cell r="J2" t="str">
            <v>报单价格</v>
          </cell>
          <cell r="K2" t="str">
            <v>利润率</v>
          </cell>
          <cell r="L2" t="str">
            <v>报单价格</v>
          </cell>
        </row>
        <row r="3">
          <cell r="C3">
            <v>8010012683</v>
          </cell>
          <cell r="D3" t="str">
            <v>印尼(日标)PVC-U给水扩直口管(AW给水系列)白色 DN16(1/2") 4M/根 联塑</v>
          </cell>
          <cell r="E3" t="str">
            <v>JIS PVC-U AW Pipe DN16 (1/2") 4M/pcs White - LESSO</v>
          </cell>
          <cell r="F3">
            <v>1</v>
          </cell>
          <cell r="G3">
            <v>14754</v>
          </cell>
          <cell r="H3">
            <v>13292</v>
          </cell>
          <cell r="I3">
            <v>0.08</v>
          </cell>
          <cell r="J3">
            <v>14448</v>
          </cell>
          <cell r="K3">
            <v>0.06</v>
          </cell>
          <cell r="L3">
            <v>14141</v>
          </cell>
        </row>
        <row r="4">
          <cell r="C4">
            <v>8010012684</v>
          </cell>
          <cell r="D4" t="str">
            <v>印尼(日标)PVC-U给水扩直口管(AW给水系列)白色 DN20(3/4") 4M/根 联塑</v>
          </cell>
          <cell r="E4" t="str">
            <v>JIS PVC-U AW Pipe DN20 (3/4") 4M/pcs White - LESSO</v>
          </cell>
          <cell r="F4">
            <v>1</v>
          </cell>
          <cell r="G4">
            <v>20053</v>
          </cell>
          <cell r="H4">
            <v>18066</v>
          </cell>
          <cell r="I4">
            <v>0.08</v>
          </cell>
          <cell r="J4">
            <v>19637</v>
          </cell>
          <cell r="K4">
            <v>0.06</v>
          </cell>
          <cell r="L4">
            <v>19220</v>
          </cell>
        </row>
        <row r="5">
          <cell r="C5">
            <v>8010012691</v>
          </cell>
          <cell r="D5" t="str">
            <v>印尼(日标)PVC-U给水扩直口管(AW给水系列)白色 DN25(1") 4M/根 联塑</v>
          </cell>
          <cell r="E5" t="str">
            <v>JIS PVC-U AW Pipe DN25 (1") 4M/pcs White - LESSO</v>
          </cell>
          <cell r="F5">
            <v>1</v>
          </cell>
          <cell r="G5">
            <v>27412</v>
          </cell>
          <cell r="H5">
            <v>24696</v>
          </cell>
          <cell r="I5">
            <v>0.08</v>
          </cell>
          <cell r="J5">
            <v>26844</v>
          </cell>
          <cell r="K5">
            <v>0.06</v>
          </cell>
          <cell r="L5">
            <v>26273</v>
          </cell>
        </row>
        <row r="6">
          <cell r="C6">
            <v>8010012692</v>
          </cell>
          <cell r="D6" t="str">
            <v>印尼(日标)PVC-U给水扩直口管(AW给水系列)白色 DN35(1-1/4") 4M/根 联塑</v>
          </cell>
          <cell r="E6" t="str">
            <v>JIS PVC-U AW Pipe DN35 (1-1/4") 4M/pcs White - LESSO</v>
          </cell>
          <cell r="F6">
            <v>1</v>
          </cell>
          <cell r="G6">
            <v>46092</v>
          </cell>
          <cell r="H6">
            <v>41525</v>
          </cell>
          <cell r="I6">
            <v>0.08</v>
          </cell>
          <cell r="J6">
            <v>45136</v>
          </cell>
          <cell r="K6">
            <v>0.06</v>
          </cell>
          <cell r="L6">
            <v>44176</v>
          </cell>
        </row>
        <row r="7">
          <cell r="C7">
            <v>8010012693</v>
          </cell>
          <cell r="D7" t="str">
            <v>印尼(日标)PVC-U给水扩直口管(AW给水系列)白色 DN40(1-1/2") 4M/根 联塑</v>
          </cell>
          <cell r="E7" t="str">
            <v>JIS PVC-U AW Pipe DN40 (1-1/2") 4M/pcs White - LESSO</v>
          </cell>
          <cell r="F7">
            <v>1</v>
          </cell>
          <cell r="G7">
            <v>46759</v>
          </cell>
          <cell r="H7">
            <v>42126</v>
          </cell>
          <cell r="I7">
            <v>0.08</v>
          </cell>
          <cell r="J7">
            <v>45790</v>
          </cell>
          <cell r="K7">
            <v>0.06</v>
          </cell>
          <cell r="L7">
            <v>44815</v>
          </cell>
        </row>
        <row r="8">
          <cell r="C8">
            <v>8010012694</v>
          </cell>
          <cell r="D8" t="str">
            <v>印尼(日标)PVC-U给水扩直口管(AW给水系列)白色 DN50(2") 4M/根 联塑</v>
          </cell>
          <cell r="E8" t="str">
            <v>JIS PVC-U AW Pipe DN50 (2") 4M/pcs White - LESSO</v>
          </cell>
          <cell r="F8">
            <v>1</v>
          </cell>
          <cell r="G8">
            <v>60096</v>
          </cell>
          <cell r="H8">
            <v>54141</v>
          </cell>
          <cell r="I8">
            <v>0.08</v>
          </cell>
          <cell r="J8">
            <v>58849</v>
          </cell>
          <cell r="K8">
            <v>0.06</v>
          </cell>
          <cell r="L8">
            <v>57597</v>
          </cell>
        </row>
        <row r="9">
          <cell r="C9">
            <v>8010012695</v>
          </cell>
          <cell r="D9" t="str">
            <v>印尼(日标)PVC-U给水扩直口管(AW给水系列)白色 DN65(2-1/2") 4M/根 联塑</v>
          </cell>
          <cell r="E9" t="str">
            <v>JIS PVC-U AW Pipe DN65 (2-1/2") 4M/pcs White - LESSO</v>
          </cell>
          <cell r="F9">
            <v>1</v>
          </cell>
          <cell r="G9">
            <v>98532</v>
          </cell>
          <cell r="H9">
            <v>88768</v>
          </cell>
          <cell r="I9">
            <v>0.08</v>
          </cell>
          <cell r="J9">
            <v>96487</v>
          </cell>
          <cell r="K9">
            <v>0.06</v>
          </cell>
          <cell r="L9">
            <v>94435</v>
          </cell>
        </row>
        <row r="10">
          <cell r="C10">
            <v>8010012696</v>
          </cell>
          <cell r="D10" t="str">
            <v>印尼(日标)PVC-U给水扩直口管(AW给水系列)白色 DN75(3") 4M/根 联塑</v>
          </cell>
          <cell r="E10" t="str">
            <v>JIS PVC-U AW Pipe DN75 (3") 4M/pcs White - LESSO</v>
          </cell>
          <cell r="F10">
            <v>1</v>
          </cell>
          <cell r="G10">
            <v>123381</v>
          </cell>
          <cell r="H10">
            <v>111155</v>
          </cell>
          <cell r="I10">
            <v>0.08</v>
          </cell>
          <cell r="J10">
            <v>120821</v>
          </cell>
          <cell r="K10">
            <v>0.06</v>
          </cell>
          <cell r="L10">
            <v>118250</v>
          </cell>
        </row>
        <row r="11">
          <cell r="C11">
            <v>8010012697</v>
          </cell>
          <cell r="D11" t="str">
            <v>印尼(日标)PVC-U给水扩直口管(AW给水系列)白色 DN100(4") 4M/根 联塑</v>
          </cell>
          <cell r="E11" t="str">
            <v>JIS PVC-U AW Pipe DN100 (4") 4M/pcs White - LESSO</v>
          </cell>
          <cell r="F11">
            <v>1</v>
          </cell>
          <cell r="G11">
            <v>204326</v>
          </cell>
          <cell r="H11">
            <v>184078</v>
          </cell>
          <cell r="I11">
            <v>0.08</v>
          </cell>
          <cell r="J11">
            <v>200085</v>
          </cell>
          <cell r="K11">
            <v>0.06</v>
          </cell>
          <cell r="L11">
            <v>195828</v>
          </cell>
        </row>
        <row r="12">
          <cell r="C12">
            <v>8010013700</v>
          </cell>
          <cell r="D12" t="str">
            <v>印尼(日标)PVC-U给水扩直口管(AW给水系列)白色 DN125(5") 4M/根 联塑</v>
          </cell>
          <cell r="E12" t="str">
            <v>JIS PVC-U AW Pipe DN125 (5") 4M/pcs White - LESSO</v>
          </cell>
          <cell r="F12">
            <v>1</v>
          </cell>
          <cell r="G12">
            <v>364251</v>
          </cell>
          <cell r="H12">
            <v>328155</v>
          </cell>
          <cell r="I12">
            <v>0.08</v>
          </cell>
          <cell r="J12">
            <v>356691</v>
          </cell>
          <cell r="K12">
            <v>0.06</v>
          </cell>
          <cell r="L12">
            <v>349102</v>
          </cell>
        </row>
        <row r="13">
          <cell r="C13">
            <v>8010012698</v>
          </cell>
          <cell r="D13" t="str">
            <v>印尼(日标)PVC-U给水扩直口管(AW给水系列)白色 DN150(6") 4M/根 联塑</v>
          </cell>
          <cell r="E13" t="str">
            <v>JIS PVC-U AW Pipe DN150 (6") 4M/pcs White - LESSO</v>
          </cell>
          <cell r="F13">
            <v>1</v>
          </cell>
          <cell r="G13">
            <v>453969</v>
          </cell>
          <cell r="H13">
            <v>408982</v>
          </cell>
          <cell r="I13">
            <v>0.08</v>
          </cell>
          <cell r="J13">
            <v>444546</v>
          </cell>
          <cell r="K13">
            <v>0.06</v>
          </cell>
          <cell r="L13">
            <v>435088</v>
          </cell>
        </row>
        <row r="14">
          <cell r="C14">
            <v>8010013701</v>
          </cell>
          <cell r="D14" t="str">
            <v>印尼(日标)PVC-U给水扩直口管(AW给水系列)白色 DN200(8") 4M/根 联塑</v>
          </cell>
          <cell r="E14" t="str">
            <v>JIS PVC-U AW Pipe DN200 (8") 4M/pcs White - LESSO</v>
          </cell>
          <cell r="F14">
            <v>1</v>
          </cell>
          <cell r="G14">
            <v>856980</v>
          </cell>
          <cell r="H14">
            <v>772055</v>
          </cell>
          <cell r="I14">
            <v>0.08</v>
          </cell>
          <cell r="J14">
            <v>839191</v>
          </cell>
          <cell r="K14">
            <v>0.06</v>
          </cell>
          <cell r="L14">
            <v>821336</v>
          </cell>
        </row>
        <row r="15">
          <cell r="C15">
            <v>8010013702</v>
          </cell>
          <cell r="D15" t="str">
            <v>印尼(日标)PVC-U给水扩直口管(AW给水系列)白色 DN250(10") 4M/根 联塑</v>
          </cell>
          <cell r="E15" t="str">
            <v>JIS PVC-U AW Pipe DN250 (10") 4M/pcs White - LESSO</v>
          </cell>
          <cell r="F15">
            <v>1</v>
          </cell>
          <cell r="G15">
            <v>1324800</v>
          </cell>
          <cell r="H15">
            <v>1193514</v>
          </cell>
          <cell r="I15">
            <v>0.08</v>
          </cell>
          <cell r="J15">
            <v>1297298</v>
          </cell>
          <cell r="K15">
            <v>0.06</v>
          </cell>
          <cell r="L15">
            <v>1269696</v>
          </cell>
        </row>
        <row r="16">
          <cell r="C16">
            <v>8010013703</v>
          </cell>
          <cell r="D16" t="str">
            <v>印尼(日标)PVC-U给水扩直口管(AW给水系列)白色 DN300(12") 4M/根 联塑</v>
          </cell>
          <cell r="E16" t="str">
            <v>JIS PVC-U AW Pipe DN300 (12") 4M/pcs White - LESSO</v>
          </cell>
          <cell r="F16">
            <v>1</v>
          </cell>
          <cell r="G16">
            <v>1497990</v>
          </cell>
          <cell r="H16">
            <v>1349541</v>
          </cell>
          <cell r="I16">
            <v>0.08</v>
          </cell>
          <cell r="J16">
            <v>1466893</v>
          </cell>
          <cell r="K16">
            <v>0.06</v>
          </cell>
          <cell r="L16">
            <v>1435682</v>
          </cell>
        </row>
        <row r="17">
          <cell r="C17">
            <v>8020012377</v>
          </cell>
          <cell r="D17" t="str">
            <v>印尼(日标)PVC-U排水扩直口管(D排水系列)白色 DN35 (1-1/4") 4M/根 联塑</v>
          </cell>
          <cell r="E17" t="str">
            <v>JIS PVC-U Pipe (D) DN35 (1-1/4") 4M/pcs White - LESSO</v>
          </cell>
          <cell r="F17">
            <v>1</v>
          </cell>
          <cell r="G17">
            <v>25544</v>
          </cell>
          <cell r="H17">
            <v>23013</v>
          </cell>
          <cell r="I17">
            <v>0.08</v>
          </cell>
          <cell r="J17">
            <v>25015</v>
          </cell>
          <cell r="K17">
            <v>0.06</v>
          </cell>
          <cell r="L17">
            <v>24482</v>
          </cell>
        </row>
        <row r="18">
          <cell r="C18">
            <v>8020012378</v>
          </cell>
          <cell r="D18" t="str">
            <v>印尼(日标)PVC-U排水扩直口管(D排水系列)白色 DN40 (1-1/2") 4M/根 联塑</v>
          </cell>
          <cell r="E18" t="str">
            <v>JIS PVC-U Pipe (D) DN40 (1-1/2") 4M/pcs White - LESSO</v>
          </cell>
          <cell r="F18">
            <v>1</v>
          </cell>
          <cell r="G18">
            <v>28898</v>
          </cell>
          <cell r="H18">
            <v>26035</v>
          </cell>
          <cell r="I18">
            <v>0.08</v>
          </cell>
          <cell r="J18">
            <v>28299</v>
          </cell>
          <cell r="K18">
            <v>0.06</v>
          </cell>
          <cell r="L18">
            <v>27697</v>
          </cell>
        </row>
        <row r="19">
          <cell r="C19">
            <v>8020012379</v>
          </cell>
          <cell r="D19" t="str">
            <v>印尼(日标)PVC-U排水扩直口管(D排水系列)白色 DN50 (2") 4M/根 联塑</v>
          </cell>
          <cell r="E19" t="str">
            <v>JIS PVC-U Pipe (D) DN50 (2") 4M/pcs White - LESSO</v>
          </cell>
          <cell r="F19">
            <v>1</v>
          </cell>
          <cell r="G19">
            <v>37284</v>
          </cell>
          <cell r="H19">
            <v>33590</v>
          </cell>
          <cell r="I19">
            <v>0.08</v>
          </cell>
          <cell r="J19">
            <v>36511</v>
          </cell>
          <cell r="K19">
            <v>0.06</v>
          </cell>
          <cell r="L19">
            <v>35735</v>
          </cell>
        </row>
        <row r="20">
          <cell r="C20">
            <v>8020012380</v>
          </cell>
          <cell r="D20" t="str">
            <v>印尼(日标)PVC-U排水扩直口管(D排水系列)白色 DN65 (2-1/2") 4M/根 联塑</v>
          </cell>
          <cell r="E20" t="str">
            <v>JIS PVC-U Pipe (D) DN65 (2-1/2") 4M/pcs White - LESSO</v>
          </cell>
          <cell r="F20">
            <v>1</v>
          </cell>
          <cell r="G20">
            <v>50052</v>
          </cell>
          <cell r="H20">
            <v>45092</v>
          </cell>
          <cell r="I20">
            <v>0.08</v>
          </cell>
          <cell r="J20">
            <v>49014</v>
          </cell>
          <cell r="K20">
            <v>0.06</v>
          </cell>
          <cell r="L20">
            <v>47971</v>
          </cell>
        </row>
        <row r="21">
          <cell r="C21">
            <v>8020012381</v>
          </cell>
          <cell r="D21" t="str">
            <v>印尼(日标)PVC-U排水扩直口管(D排水系列)白色 DN75 (3") 4M/根 联塑</v>
          </cell>
          <cell r="E21" t="str">
            <v>JIS PVC-U Pipe (D) DN75 (3") 4M/pcs White - LESSO</v>
          </cell>
          <cell r="F21">
            <v>1</v>
          </cell>
          <cell r="G21">
            <v>70521</v>
          </cell>
          <cell r="H21">
            <v>63533</v>
          </cell>
          <cell r="I21">
            <v>0.08</v>
          </cell>
          <cell r="J21">
            <v>69058</v>
          </cell>
          <cell r="K21">
            <v>0.06</v>
          </cell>
          <cell r="L21">
            <v>67589</v>
          </cell>
        </row>
        <row r="22">
          <cell r="C22">
            <v>8020012382</v>
          </cell>
          <cell r="D22" t="str">
            <v>印尼(日标)PVC-U排水扩直口管(D排水系列)白色 DN100 (4") 4M/根 联塑</v>
          </cell>
          <cell r="E22" t="str">
            <v>JIS PVC-U Pipe (D) DN100(4") 4M/pcs White - LESSO</v>
          </cell>
          <cell r="F22">
            <v>1</v>
          </cell>
          <cell r="G22">
            <v>105045</v>
          </cell>
          <cell r="H22">
            <v>94636</v>
          </cell>
          <cell r="I22">
            <v>0.08</v>
          </cell>
          <cell r="J22">
            <v>102866</v>
          </cell>
          <cell r="K22">
            <v>0.06</v>
          </cell>
          <cell r="L22">
            <v>100677</v>
          </cell>
        </row>
        <row r="23">
          <cell r="C23">
            <v>8020013759</v>
          </cell>
          <cell r="D23" t="str">
            <v>印尼(日标)PVC-U排水扩直口管(D排水系列)白色 DN125 (5") 4M/根 联塑</v>
          </cell>
          <cell r="E23" t="str">
            <v>JIS PVC-U Pipe (D) DN125 (5") 4M/pcs White - LESSO</v>
          </cell>
          <cell r="F23">
            <v>1</v>
          </cell>
          <cell r="G23">
            <v>181884</v>
          </cell>
          <cell r="H23">
            <v>163860</v>
          </cell>
          <cell r="I23">
            <v>0.08</v>
          </cell>
          <cell r="J23">
            <v>178109</v>
          </cell>
          <cell r="K23">
            <v>0.06</v>
          </cell>
          <cell r="L23">
            <v>174320</v>
          </cell>
        </row>
        <row r="24">
          <cell r="C24">
            <v>8020012383</v>
          </cell>
          <cell r="D24" t="str">
            <v>印尼(日标)PVC-U排水扩直口管(D排水系列)白色 DN150 (6") 4M/根 联塑</v>
          </cell>
          <cell r="E24" t="str">
            <v>JIS PVC-U Pipe (D) DN150(6") 4M/pcs White - LESSO</v>
          </cell>
          <cell r="F24">
            <v>1</v>
          </cell>
          <cell r="G24">
            <v>213157</v>
          </cell>
          <cell r="H24">
            <v>192034</v>
          </cell>
          <cell r="I24">
            <v>0.08</v>
          </cell>
          <cell r="J24">
            <v>208733</v>
          </cell>
          <cell r="K24">
            <v>0.06</v>
          </cell>
          <cell r="L24">
            <v>204292</v>
          </cell>
        </row>
        <row r="25">
          <cell r="C25">
            <v>8020013760</v>
          </cell>
          <cell r="D25" t="str">
            <v>印尼(日标)PVC-U排水扩直口管(D排水系列)白色 DN200 (8") 4M/根 联塑</v>
          </cell>
          <cell r="E25" t="str">
            <v>JIS PVC-U Pipe (D) DN200 (8") 4M/pcs White - LESSO</v>
          </cell>
          <cell r="F25">
            <v>1</v>
          </cell>
          <cell r="G25">
            <v>421659</v>
          </cell>
          <cell r="H25">
            <v>379873</v>
          </cell>
          <cell r="I25">
            <v>0.08</v>
          </cell>
          <cell r="J25">
            <v>412906</v>
          </cell>
          <cell r="K25">
            <v>0.06</v>
          </cell>
          <cell r="L25">
            <v>404121</v>
          </cell>
        </row>
        <row r="26">
          <cell r="C26">
            <v>8020013761</v>
          </cell>
          <cell r="D26" t="str">
            <v>印尼(日标)PVC-U排水扩直口管(D排水系列)白色 DN250 (10") 4M/根 联塑</v>
          </cell>
          <cell r="E26" t="str">
            <v>JIS PVC-U Pipe (D) DN250 (10") 4M/pcs White - LESSO</v>
          </cell>
          <cell r="F26">
            <v>1</v>
          </cell>
          <cell r="G26">
            <v>694554</v>
          </cell>
          <cell r="H26">
            <v>625725</v>
          </cell>
          <cell r="I26">
            <v>0.08</v>
          </cell>
          <cell r="J26">
            <v>680136</v>
          </cell>
          <cell r="K26">
            <v>0.06</v>
          </cell>
          <cell r="L26">
            <v>665665</v>
          </cell>
        </row>
        <row r="27">
          <cell r="C27">
            <v>8020013762</v>
          </cell>
          <cell r="D27" t="str">
            <v>印尼(日标)PVC-U排水扩直口管(D排水系列)白色 DN300 (12") 4M/根 联塑</v>
          </cell>
          <cell r="E27" t="str">
            <v>JIS PVC-U Pipe (D) DN300 (12") 4M/pcs White - LESSO</v>
          </cell>
          <cell r="F27">
            <v>1</v>
          </cell>
          <cell r="G27">
            <v>974970</v>
          </cell>
          <cell r="H27">
            <v>878352</v>
          </cell>
          <cell r="I27">
            <v>0.08</v>
          </cell>
          <cell r="J27">
            <v>954731</v>
          </cell>
          <cell r="K27">
            <v>0.06</v>
          </cell>
          <cell r="L27">
            <v>934418</v>
          </cell>
        </row>
        <row r="28">
          <cell r="C28">
            <v>8010024550</v>
          </cell>
          <cell r="D28" t="str">
            <v>直通印尼(日标)PVC-U管件(AW给水系列)灰色 DN16 (1/2") 联塑</v>
          </cell>
          <cell r="E28" t="str">
            <v>JIS PVC-U Socket (AW) DN16 (1/2") Grey - LESSO</v>
          </cell>
          <cell r="F28">
            <v>1</v>
          </cell>
          <cell r="G28">
            <v>1156</v>
          </cell>
          <cell r="H28">
            <v>1042</v>
          </cell>
          <cell r="I28">
            <v>0.12</v>
          </cell>
          <cell r="J28">
            <v>1185</v>
          </cell>
          <cell r="K28">
            <v>0.1</v>
          </cell>
          <cell r="L28">
            <v>1158</v>
          </cell>
        </row>
        <row r="29">
          <cell r="C29">
            <v>8010024551</v>
          </cell>
          <cell r="D29" t="str">
            <v>直通印尼(日标)PVC-U管件(AW给水系列)灰色 DN20 (3/4") 联塑</v>
          </cell>
          <cell r="E29" t="str">
            <v>JIS PVC-U Socket (AW) DN20 (3/4") Grey - LESSO</v>
          </cell>
          <cell r="F29">
            <v>1</v>
          </cell>
          <cell r="G29">
            <v>1367</v>
          </cell>
          <cell r="H29">
            <v>1232</v>
          </cell>
          <cell r="I29">
            <v>0.12</v>
          </cell>
          <cell r="J29">
            <v>1400</v>
          </cell>
          <cell r="K29">
            <v>0.1</v>
          </cell>
          <cell r="L29">
            <v>1369</v>
          </cell>
        </row>
        <row r="30">
          <cell r="C30">
            <v>8010024448</v>
          </cell>
          <cell r="D30" t="str">
            <v>直通印尼(日标)PVC-U管件(AW给水系列)灰色 DN25 (1") 联塑</v>
          </cell>
          <cell r="E30" t="str">
            <v>JIS PVC-U Socket (AW) DN25 (1") Grey - LESSO</v>
          </cell>
          <cell r="F30">
            <v>1</v>
          </cell>
          <cell r="G30">
            <v>1998</v>
          </cell>
          <cell r="H30">
            <v>1800</v>
          </cell>
          <cell r="I30">
            <v>0.12</v>
          </cell>
          <cell r="J30">
            <v>2046</v>
          </cell>
          <cell r="K30">
            <v>0.1</v>
          </cell>
          <cell r="L30">
            <v>2000</v>
          </cell>
        </row>
        <row r="31">
          <cell r="C31">
            <v>8010024386</v>
          </cell>
          <cell r="D31" t="str">
            <v>直通印尼(日标)PVC-U管件(AW给水系列)灰色 DN35 (1-1/4") 联塑</v>
          </cell>
          <cell r="E31" t="str">
            <v>JIS PVC-U Socket (AW) DN35 (1-1/4") Grey - LESSO</v>
          </cell>
          <cell r="F31">
            <v>1</v>
          </cell>
          <cell r="G31">
            <v>3819</v>
          </cell>
          <cell r="H31">
            <v>3441</v>
          </cell>
          <cell r="I31">
            <v>0.12</v>
          </cell>
          <cell r="J31">
            <v>3911</v>
          </cell>
          <cell r="K31">
            <v>0.1</v>
          </cell>
          <cell r="L31">
            <v>3824</v>
          </cell>
        </row>
        <row r="32">
          <cell r="C32">
            <v>8010024387</v>
          </cell>
          <cell r="D32" t="str">
            <v>直通印尼(日标)PVC-U管件(AW给水系列)灰色 DN40 (1-1/2") 联塑</v>
          </cell>
          <cell r="E32" t="str">
            <v>JIS PVC-U Socket (AW) DN40 (1-1/2") Grey - LESSO</v>
          </cell>
          <cell r="F32">
            <v>1</v>
          </cell>
          <cell r="G32">
            <v>5461</v>
          </cell>
          <cell r="H32">
            <v>4920</v>
          </cell>
          <cell r="I32">
            <v>0.12</v>
          </cell>
          <cell r="J32">
            <v>5591</v>
          </cell>
          <cell r="K32">
            <v>0.1</v>
          </cell>
          <cell r="L32">
            <v>5467</v>
          </cell>
        </row>
        <row r="33">
          <cell r="C33">
            <v>8010024812</v>
          </cell>
          <cell r="D33" t="str">
            <v>直通印尼(日标)PVC-U管件(AW给水系列)灰色 DN50 (2") 联塑</v>
          </cell>
          <cell r="E33" t="str">
            <v>JIS PVC-U Socket (AW) DN50 (2") Grey - LESSO</v>
          </cell>
          <cell r="F33">
            <v>1</v>
          </cell>
          <cell r="G33">
            <v>8401</v>
          </cell>
          <cell r="H33">
            <v>7569</v>
          </cell>
          <cell r="I33">
            <v>0.12</v>
          </cell>
          <cell r="J33">
            <v>8602</v>
          </cell>
          <cell r="K33">
            <v>0.1</v>
          </cell>
          <cell r="L33">
            <v>8410</v>
          </cell>
        </row>
        <row r="34">
          <cell r="C34">
            <v>8010024327</v>
          </cell>
          <cell r="D34" t="str">
            <v>直通印尼(日标)PVC-U管件(AW给水系列)灰色 DN65 (2-1/2") 联塑</v>
          </cell>
          <cell r="E34" t="str">
            <v>JIS PVC-U Socket (AW) DN65 (2-1/2") Grey - LESSO</v>
          </cell>
          <cell r="F34">
            <v>1</v>
          </cell>
          <cell r="G34">
            <v>14124</v>
          </cell>
          <cell r="H34">
            <v>12725</v>
          </cell>
          <cell r="I34">
            <v>0.12</v>
          </cell>
          <cell r="J34">
            <v>14461</v>
          </cell>
          <cell r="K34">
            <v>0.1</v>
          </cell>
          <cell r="L34">
            <v>14139</v>
          </cell>
        </row>
        <row r="35">
          <cell r="C35">
            <v>8010024552</v>
          </cell>
          <cell r="D35" t="str">
            <v>直通印尼(日标)PVC-U管件(AW给水系列)灰色 DN75 (3") 联塑</v>
          </cell>
          <cell r="E35" t="str">
            <v>JIS PVC-U Socket (AW) DN75 (3") Grey - LESSO</v>
          </cell>
          <cell r="F35">
            <v>1</v>
          </cell>
          <cell r="G35">
            <v>20102</v>
          </cell>
          <cell r="H35">
            <v>18110</v>
          </cell>
          <cell r="I35">
            <v>0.12</v>
          </cell>
          <cell r="J35">
            <v>20580</v>
          </cell>
          <cell r="K35">
            <v>0.1</v>
          </cell>
          <cell r="L35">
            <v>20123</v>
          </cell>
        </row>
        <row r="36">
          <cell r="C36">
            <v>8010024388</v>
          </cell>
          <cell r="D36" t="str">
            <v>直通印尼(日标)PVC-U管件(AW给水系列)灰色 DN100 (4") 联塑</v>
          </cell>
          <cell r="E36" t="str">
            <v>JIS PVC-U Socket (AW) DN100 (4") Grey - LESSO</v>
          </cell>
          <cell r="F36">
            <v>1</v>
          </cell>
          <cell r="G36">
            <v>39259</v>
          </cell>
          <cell r="H36">
            <v>35369</v>
          </cell>
          <cell r="I36">
            <v>0.12</v>
          </cell>
          <cell r="J36">
            <v>40193</v>
          </cell>
          <cell r="K36">
            <v>0.1</v>
          </cell>
          <cell r="L36">
            <v>39299</v>
          </cell>
        </row>
        <row r="37">
          <cell r="C37">
            <v>8010024948</v>
          </cell>
          <cell r="D37" t="str">
            <v>直通印尼(日标)PVC-U管件(AW给水系列)灰色 DN150 (6") 联塑</v>
          </cell>
          <cell r="E37" t="str">
            <v>JIS PVC-U Socket (AW) DN150 (6") Grey - LESSO</v>
          </cell>
          <cell r="F37">
            <v>1</v>
          </cell>
          <cell r="G37">
            <v>82616</v>
          </cell>
          <cell r="H37">
            <v>74429</v>
          </cell>
          <cell r="I37">
            <v>0.12</v>
          </cell>
          <cell r="J37">
            <v>84579</v>
          </cell>
          <cell r="K37">
            <v>0.1</v>
          </cell>
          <cell r="L37">
            <v>82699</v>
          </cell>
        </row>
        <row r="38">
          <cell r="C38">
            <v>8011021615</v>
          </cell>
          <cell r="D38" t="str">
            <v>直通印尼(日标)PVC-U管件(AW给水系列)灰色 DN200 (8") 联塑</v>
          </cell>
          <cell r="E38" t="str">
            <v>JIS PVC-U Socket (AW) DN200 (8") Grey - LESSO</v>
          </cell>
          <cell r="F38">
            <v>1</v>
          </cell>
          <cell r="G38">
            <v>155600</v>
          </cell>
          <cell r="H38">
            <v>140181</v>
          </cell>
          <cell r="I38">
            <v>0.12</v>
          </cell>
          <cell r="J38">
            <v>159297</v>
          </cell>
          <cell r="K38">
            <v>0.1</v>
          </cell>
          <cell r="L38">
            <v>155757</v>
          </cell>
        </row>
        <row r="39">
          <cell r="C39">
            <v>8011021692</v>
          </cell>
          <cell r="D39" t="str">
            <v>直通印尼(日标)PVC-U管件(AW给水系列)灰色 DN250 (10") 联塑</v>
          </cell>
          <cell r="E39" t="str">
            <v>JIS PVC-U Socket (AW) DN250 (10)" Grey - LESSO</v>
          </cell>
          <cell r="F39">
            <v>1</v>
          </cell>
          <cell r="G39">
            <v>204358</v>
          </cell>
          <cell r="H39">
            <v>184107</v>
          </cell>
          <cell r="I39">
            <v>0.12</v>
          </cell>
          <cell r="J39">
            <v>209213</v>
          </cell>
          <cell r="K39">
            <v>0.1</v>
          </cell>
          <cell r="L39">
            <v>204564</v>
          </cell>
        </row>
        <row r="40">
          <cell r="C40">
            <v>8011021693</v>
          </cell>
          <cell r="D40" t="str">
            <v>直通印尼(日标)PVC-U管件(AW给水系列)灰色 DN300 (12") 联塑</v>
          </cell>
          <cell r="E40" t="str">
            <v>JIS PVC-U Socket (AW) DN300 (12") Grey - LESSO</v>
          </cell>
          <cell r="F40">
            <v>1</v>
          </cell>
          <cell r="G40">
            <v>294046</v>
          </cell>
          <cell r="H40">
            <v>264907</v>
          </cell>
          <cell r="I40">
            <v>0.12</v>
          </cell>
          <cell r="J40">
            <v>301031</v>
          </cell>
          <cell r="K40">
            <v>0.1</v>
          </cell>
          <cell r="L40">
            <v>294342</v>
          </cell>
        </row>
        <row r="41">
          <cell r="C41">
            <v>8010024350</v>
          </cell>
          <cell r="D41" t="str">
            <v>90°弯头印尼(日标)PVC-U管件(AW给水系列)灰色 DN16 (1/2") 联塑</v>
          </cell>
          <cell r="E41" t="str">
            <v>JIS PVC-U 90° Elbow (AW) DN16 (1/2") Grey - LESSO</v>
          </cell>
          <cell r="F41">
            <v>1</v>
          </cell>
          <cell r="G41">
            <v>1391</v>
          </cell>
          <cell r="H41">
            <v>1254</v>
          </cell>
          <cell r="I41">
            <v>0.12</v>
          </cell>
          <cell r="J41">
            <v>1425</v>
          </cell>
          <cell r="K41">
            <v>0.1</v>
          </cell>
          <cell r="L41">
            <v>1394</v>
          </cell>
        </row>
        <row r="42">
          <cell r="C42">
            <v>8010024351</v>
          </cell>
          <cell r="D42" t="str">
            <v>90°弯头印尼(日标)PVC-U管件(AW给水系列)灰色 DN20 (3/4") 联塑</v>
          </cell>
          <cell r="E42" t="str">
            <v>JIS PVC-U 90° Elbow (AW) DN20 (3/4") Grey - LESSO</v>
          </cell>
          <cell r="F42">
            <v>1</v>
          </cell>
          <cell r="G42">
            <v>1673</v>
          </cell>
          <cell r="H42">
            <v>1508</v>
          </cell>
          <cell r="I42">
            <v>0.12</v>
          </cell>
          <cell r="J42">
            <v>1714</v>
          </cell>
          <cell r="K42">
            <v>0.1</v>
          </cell>
          <cell r="L42">
            <v>1676</v>
          </cell>
        </row>
        <row r="43">
          <cell r="C43">
            <v>8010024318</v>
          </cell>
          <cell r="D43" t="str">
            <v>90°弯头印尼(日标)PVC-U管件(AW给水系列)灰色 DN25 (1") 联塑</v>
          </cell>
          <cell r="E43" t="str">
            <v>JIS PVC-U 90° Elbow (AW) DN25 (1") Grey - LESSO</v>
          </cell>
          <cell r="F43">
            <v>1</v>
          </cell>
          <cell r="G43">
            <v>2458</v>
          </cell>
          <cell r="H43">
            <v>2215</v>
          </cell>
          <cell r="I43">
            <v>0.12</v>
          </cell>
          <cell r="J43">
            <v>2518</v>
          </cell>
          <cell r="K43">
            <v>0.1</v>
          </cell>
          <cell r="L43">
            <v>2462</v>
          </cell>
        </row>
        <row r="44">
          <cell r="C44">
            <v>8010024352</v>
          </cell>
          <cell r="D44" t="str">
            <v>90°弯头印尼(日标)PVC-U管件(AW给水系列)灰色 DN35 (1-1/4") 联塑</v>
          </cell>
          <cell r="E44" t="str">
            <v>JIS PVC-U 90° Elbow (AW) DN35 (1-1/4") Grey - LESSO</v>
          </cell>
          <cell r="F44">
            <v>1</v>
          </cell>
          <cell r="G44">
            <v>4910</v>
          </cell>
          <cell r="H44">
            <v>4424</v>
          </cell>
          <cell r="I44">
            <v>0.12</v>
          </cell>
          <cell r="J44">
            <v>5028</v>
          </cell>
          <cell r="K44">
            <v>0.1</v>
          </cell>
          <cell r="L44">
            <v>4916</v>
          </cell>
        </row>
        <row r="45">
          <cell r="C45">
            <v>8010024403</v>
          </cell>
          <cell r="D45" t="str">
            <v>90°弯头印尼(日标)PVC-U管件(AW给水系列)灰色 DN40 (1-1/2") 联塑</v>
          </cell>
          <cell r="E45" t="str">
            <v>JIS PVC-U 90° Elbow (AW) DN40 (1-1/2") Grey - LESSO</v>
          </cell>
          <cell r="F45">
            <v>1</v>
          </cell>
          <cell r="G45">
            <v>6720</v>
          </cell>
          <cell r="H45">
            <v>6055</v>
          </cell>
          <cell r="I45">
            <v>0.12</v>
          </cell>
          <cell r="J45">
            <v>6881</v>
          </cell>
          <cell r="K45">
            <v>0.1</v>
          </cell>
          <cell r="L45">
            <v>6728</v>
          </cell>
        </row>
        <row r="46">
          <cell r="C46">
            <v>8010024319</v>
          </cell>
          <cell r="D46" t="str">
            <v>90°弯头印尼(日标)PVC-U管件(AW给水系列)灰色 DN50 (2") 联塑</v>
          </cell>
          <cell r="E46" t="str">
            <v>JIS PVC-U 90° Elbow (AW) DN50 (2") Grey - LESSO</v>
          </cell>
          <cell r="F46">
            <v>1</v>
          </cell>
          <cell r="G46">
            <v>10141</v>
          </cell>
          <cell r="H46">
            <v>9137</v>
          </cell>
          <cell r="I46">
            <v>0.12</v>
          </cell>
          <cell r="J46">
            <v>10383</v>
          </cell>
          <cell r="K46">
            <v>0.1</v>
          </cell>
          <cell r="L46">
            <v>10153</v>
          </cell>
        </row>
        <row r="47">
          <cell r="C47">
            <v>8010024353</v>
          </cell>
          <cell r="D47" t="str">
            <v>90°弯头印尼(日标)PVC-U管件(AW给水系列)灰色 DN65 (2-1/2") 联塑</v>
          </cell>
          <cell r="E47" t="str">
            <v>JIS PVC-U 90° Elbow (AW) DN65 (2-1/2") Grey - LESSO</v>
          </cell>
          <cell r="F47">
            <v>1</v>
          </cell>
          <cell r="G47">
            <v>16185</v>
          </cell>
          <cell r="H47">
            <v>14582</v>
          </cell>
          <cell r="I47">
            <v>0.12</v>
          </cell>
          <cell r="J47">
            <v>16571</v>
          </cell>
          <cell r="K47">
            <v>0.1</v>
          </cell>
          <cell r="L47">
            <v>16203</v>
          </cell>
        </row>
        <row r="48">
          <cell r="C48">
            <v>8010024354</v>
          </cell>
          <cell r="D48" t="str">
            <v>90°弯头印尼(日标)PVC-U管件(AW给水系列)灰色 DN75 (3") 联塑</v>
          </cell>
          <cell r="E48" t="str">
            <v>JIS PVC-U 90° Elbow (AW) DN75 (3") Grey - LESSO</v>
          </cell>
          <cell r="F48">
            <v>1</v>
          </cell>
          <cell r="G48">
            <v>26642</v>
          </cell>
          <cell r="H48">
            <v>24002</v>
          </cell>
          <cell r="I48">
            <v>0.12</v>
          </cell>
          <cell r="J48">
            <v>27275</v>
          </cell>
          <cell r="K48">
            <v>0.1</v>
          </cell>
          <cell r="L48">
            <v>26669</v>
          </cell>
        </row>
        <row r="49">
          <cell r="C49">
            <v>8010024355</v>
          </cell>
          <cell r="D49" t="str">
            <v>90°弯头印尼(日标)PVC-U管件(AW给水系列)灰色 DN100 (4") 联塑</v>
          </cell>
          <cell r="E49" t="str">
            <v>JIS PVC-U 90° Elbow (AW) DN100 (4") Grey - LESSO</v>
          </cell>
          <cell r="F49">
            <v>1</v>
          </cell>
          <cell r="G49">
            <v>48762</v>
          </cell>
          <cell r="H49">
            <v>43930</v>
          </cell>
          <cell r="I49">
            <v>0.12</v>
          </cell>
          <cell r="J49">
            <v>49921</v>
          </cell>
          <cell r="K49">
            <v>0.1</v>
          </cell>
          <cell r="L49">
            <v>48812</v>
          </cell>
        </row>
        <row r="50">
          <cell r="C50">
            <v>8011021447</v>
          </cell>
          <cell r="D50" t="str">
            <v>90°弯头印尼(日标)PVC-U管件(AW给水系列)灰色 DN125 (5") 联塑</v>
          </cell>
          <cell r="E50" t="str">
            <v>JIS PVC-U 90° Elbow (AW) DN125 (5") Grey - LESSO</v>
          </cell>
          <cell r="F50">
            <v>1</v>
          </cell>
          <cell r="G50">
            <v>82024</v>
          </cell>
          <cell r="H50">
            <v>73896</v>
          </cell>
          <cell r="I50">
            <v>0.12</v>
          </cell>
          <cell r="J50">
            <v>83973</v>
          </cell>
          <cell r="K50">
            <v>0.1</v>
          </cell>
          <cell r="L50">
            <v>82107</v>
          </cell>
        </row>
        <row r="51">
          <cell r="C51">
            <v>8010024404</v>
          </cell>
          <cell r="D51" t="str">
            <v>90°弯头印尼(日标)PVC-U管件(AW给水系列)灰色 DN150 (6") 联塑</v>
          </cell>
          <cell r="E51" t="str">
            <v>JIS PVC-U 90° Elbow (AW) DN150 (6") Grey - LESSO</v>
          </cell>
          <cell r="F51">
            <v>1</v>
          </cell>
          <cell r="G51">
            <v>123241</v>
          </cell>
          <cell r="H51">
            <v>111028</v>
          </cell>
          <cell r="I51">
            <v>0.12</v>
          </cell>
          <cell r="J51">
            <v>126169</v>
          </cell>
          <cell r="K51">
            <v>0.1</v>
          </cell>
          <cell r="L51">
            <v>123365</v>
          </cell>
        </row>
        <row r="52">
          <cell r="C52">
            <v>8011021680</v>
          </cell>
          <cell r="D52" t="str">
            <v>90°弯头印尼(日标)PVC-U管件(AW给水系列)灰色 DN200 (8") 联塑</v>
          </cell>
          <cell r="E52" t="str">
            <v>JIS PVC-U 90° Elbow (AW) DN200 (8") Grey - LESSO</v>
          </cell>
          <cell r="F52">
            <v>1</v>
          </cell>
          <cell r="G52">
            <v>244989</v>
          </cell>
          <cell r="H52">
            <v>220711</v>
          </cell>
          <cell r="I52">
            <v>0.12</v>
          </cell>
          <cell r="J52">
            <v>250808</v>
          </cell>
          <cell r="K52">
            <v>0.1</v>
          </cell>
          <cell r="L52">
            <v>245235</v>
          </cell>
        </row>
        <row r="53">
          <cell r="C53">
            <v>8011021685</v>
          </cell>
          <cell r="D53" t="str">
            <v>90°弯头印尼(日标)PVC-U管件(AW给水系列)灰色 DN250 (10") 联塑</v>
          </cell>
          <cell r="E53" t="str">
            <v>JIS PVC-U 90° Elbow (AW) DN250 (10") Grey - LESSO</v>
          </cell>
          <cell r="F53">
            <v>1</v>
          </cell>
          <cell r="G53">
            <v>350628</v>
          </cell>
          <cell r="H53">
            <v>315882</v>
          </cell>
          <cell r="I53">
            <v>0.12</v>
          </cell>
          <cell r="J53">
            <v>358957</v>
          </cell>
          <cell r="K53">
            <v>0.1</v>
          </cell>
          <cell r="L53">
            <v>350980</v>
          </cell>
        </row>
        <row r="54">
          <cell r="C54">
            <v>8011021686</v>
          </cell>
          <cell r="D54" t="str">
            <v>90°弯头印尼(日标)PVC-U管件(AW给水系列)灰色 DN300 (12") 联塑</v>
          </cell>
          <cell r="E54" t="str">
            <v>JIS PVC-U 90° Elbow (AW) DN300 (12") Grey - LESSO</v>
          </cell>
          <cell r="F54">
            <v>1</v>
          </cell>
          <cell r="G54">
            <v>470112</v>
          </cell>
          <cell r="H54">
            <v>423525</v>
          </cell>
          <cell r="I54">
            <v>0.12</v>
          </cell>
          <cell r="J54">
            <v>481279</v>
          </cell>
          <cell r="K54">
            <v>0.1</v>
          </cell>
          <cell r="L54">
            <v>470584</v>
          </cell>
        </row>
        <row r="55">
          <cell r="C55">
            <v>8010024438</v>
          </cell>
          <cell r="D55" t="str">
            <v>45°弯头印尼(日标)PVC-U管件(AW给水系列)灰色 DN16 (1/2") 联塑</v>
          </cell>
          <cell r="E55" t="str">
            <v>JIS PVC-U 45° Elbow (AW-45L) DN16 (1/2") Grey - LESSO</v>
          </cell>
          <cell r="F55">
            <v>1</v>
          </cell>
          <cell r="G55">
            <v>1426</v>
          </cell>
          <cell r="H55">
            <v>1285</v>
          </cell>
          <cell r="I55">
            <v>0.12</v>
          </cell>
          <cell r="J55">
            <v>1461</v>
          </cell>
          <cell r="K55">
            <v>0.1</v>
          </cell>
          <cell r="L55">
            <v>1428</v>
          </cell>
        </row>
        <row r="56">
          <cell r="C56">
            <v>8010024347</v>
          </cell>
          <cell r="D56" t="str">
            <v>45°弯头印尼(日标)PVC-U管件(AW给水系列)灰色 DN20 (3/4") 联塑</v>
          </cell>
          <cell r="E56" t="str">
            <v>JIS PVC-U 45° Elbow (AW-45L) DN20 (3/4") Grey - LESSO</v>
          </cell>
          <cell r="F56">
            <v>1</v>
          </cell>
          <cell r="G56">
            <v>2138</v>
          </cell>
          <cell r="H56">
            <v>1927</v>
          </cell>
          <cell r="I56">
            <v>0.12</v>
          </cell>
          <cell r="J56">
            <v>2190</v>
          </cell>
          <cell r="K56">
            <v>0.1</v>
          </cell>
          <cell r="L56">
            <v>2142</v>
          </cell>
        </row>
        <row r="57">
          <cell r="C57">
            <v>8010024348</v>
          </cell>
          <cell r="D57" t="str">
            <v>45°弯头印尼(日标)PVC-U管件(AW给水系列)灰色 DN25 (1") 联塑</v>
          </cell>
          <cell r="E57" t="str">
            <v>JIS PVC-U 45° Elbow (AW-45L) DN25 (1") Grey - LESSO</v>
          </cell>
          <cell r="F57">
            <v>1</v>
          </cell>
          <cell r="G57">
            <v>3148</v>
          </cell>
          <cell r="H57">
            <v>2837</v>
          </cell>
          <cell r="I57">
            <v>0.12</v>
          </cell>
          <cell r="J57">
            <v>3224</v>
          </cell>
          <cell r="K57">
            <v>0.1</v>
          </cell>
          <cell r="L57">
            <v>3153</v>
          </cell>
        </row>
        <row r="58">
          <cell r="C58">
            <v>8010024349</v>
          </cell>
          <cell r="D58" t="str">
            <v>45°弯头印尼(日标)PVC-U管件(AW给水系列)灰色 DN50 (2") 联塑</v>
          </cell>
          <cell r="E58" t="str">
            <v>JIS PVC-U 45° Elbow (AW-45L) DN50 (2") Grey - LESSO</v>
          </cell>
          <cell r="F58">
            <v>1</v>
          </cell>
          <cell r="G58">
            <v>11581</v>
          </cell>
          <cell r="H58">
            <v>10434</v>
          </cell>
          <cell r="I58">
            <v>0.12</v>
          </cell>
          <cell r="J58">
            <v>11857</v>
          </cell>
          <cell r="K58">
            <v>0.1</v>
          </cell>
          <cell r="L58">
            <v>11594</v>
          </cell>
        </row>
        <row r="59">
          <cell r="C59">
            <v>80516213</v>
          </cell>
          <cell r="D59" t="str">
            <v>45°弯头印尼(日标) PVC-U管件(AW给水系列) DN65 (2-1/2") - RUCIKA</v>
          </cell>
          <cell r="E59" t="str">
            <v>JIS PVC-U 45° Elbow (AW) DN65 (2-1/2") - RUCIKA</v>
          </cell>
          <cell r="F59">
            <v>1</v>
          </cell>
          <cell r="G59">
            <v>0</v>
          </cell>
          <cell r="H59">
            <v>0</v>
          </cell>
          <cell r="I59">
            <v>0.15</v>
          </cell>
          <cell r="J59">
            <v>0</v>
          </cell>
          <cell r="K59">
            <v>0.15</v>
          </cell>
          <cell r="L59">
            <v>0</v>
          </cell>
        </row>
        <row r="60">
          <cell r="C60">
            <v>80516218</v>
          </cell>
          <cell r="D60" t="str">
            <v>45°弯头印尼(日标) PVC-U管件(AW给水系列) DN75 (3") - RUCIKA</v>
          </cell>
          <cell r="E60" t="str">
            <v>JIS PVC-U 45° Elbow (AW) DN75 (3") - RUCIKA</v>
          </cell>
          <cell r="F60">
            <v>1</v>
          </cell>
          <cell r="G60">
            <v>0</v>
          </cell>
          <cell r="H60">
            <v>0</v>
          </cell>
          <cell r="I60">
            <v>0.15</v>
          </cell>
          <cell r="J60">
            <v>0</v>
          </cell>
          <cell r="K60">
            <v>0.15</v>
          </cell>
          <cell r="L60">
            <v>0</v>
          </cell>
        </row>
        <row r="61">
          <cell r="C61">
            <v>8010024873</v>
          </cell>
          <cell r="D61" t="str">
            <v>45°弯头印尼(日标)PVC-U管件(AW给水系列)灰色 DN100 (4") 联塑</v>
          </cell>
          <cell r="E61" t="str">
            <v>JIS PVC-U 45° Elbow (AW-45L) DN100 (4") Grey - LESSO</v>
          </cell>
          <cell r="F61">
            <v>1</v>
          </cell>
          <cell r="G61">
            <v>47634</v>
          </cell>
          <cell r="H61">
            <v>42914</v>
          </cell>
          <cell r="I61">
            <v>0.12</v>
          </cell>
          <cell r="J61">
            <v>48766</v>
          </cell>
          <cell r="K61">
            <v>0.1</v>
          </cell>
          <cell r="L61">
            <v>47683</v>
          </cell>
        </row>
        <row r="62">
          <cell r="C62">
            <v>8011021616</v>
          </cell>
          <cell r="D62" t="str">
            <v>45°弯头印尼(日标)PVC-U管件(AW给水系列)灰色 DN125 (5") 联塑</v>
          </cell>
          <cell r="E62" t="str">
            <v>JIS PVC-U 45° Elbow (AW-45L) DN125 (5") Grey - LESSO</v>
          </cell>
          <cell r="F62">
            <v>1</v>
          </cell>
          <cell r="G62">
            <v>69524</v>
          </cell>
          <cell r="H62">
            <v>62635</v>
          </cell>
          <cell r="I62">
            <v>0.12</v>
          </cell>
          <cell r="J62">
            <v>71177</v>
          </cell>
          <cell r="K62">
            <v>0.1</v>
          </cell>
          <cell r="L62">
            <v>69595</v>
          </cell>
        </row>
        <row r="63">
          <cell r="C63">
            <v>8010024874</v>
          </cell>
          <cell r="D63" t="str">
            <v>45°弯头印尼(日标)PVC-U管件(AW给水系列)灰色DN150 (6") 联塑</v>
          </cell>
          <cell r="E63" t="str">
            <v>JIS PVC-U 45° Elbow (AW-45L) DN150 (6") Grey - LESSO</v>
          </cell>
          <cell r="F63">
            <v>1</v>
          </cell>
          <cell r="G63">
            <v>135892</v>
          </cell>
          <cell r="H63">
            <v>122426</v>
          </cell>
          <cell r="I63">
            <v>0.12</v>
          </cell>
          <cell r="J63">
            <v>139121</v>
          </cell>
          <cell r="K63">
            <v>0.1</v>
          </cell>
          <cell r="L63">
            <v>136029</v>
          </cell>
        </row>
        <row r="64">
          <cell r="C64">
            <v>8011021682</v>
          </cell>
          <cell r="D64" t="str">
            <v>45°弯头印尼(日标)PVC-U管件(AW给水系列)灰色 DN200 (8") 联塑</v>
          </cell>
          <cell r="E64" t="str">
            <v>JIS PVC-U 45° Elbow (AW-45L) (8") Grey - LESSO</v>
          </cell>
          <cell r="F64">
            <v>1</v>
          </cell>
          <cell r="G64">
            <v>167941</v>
          </cell>
          <cell r="H64">
            <v>151299</v>
          </cell>
          <cell r="I64">
            <v>0.12</v>
          </cell>
          <cell r="J64">
            <v>171931</v>
          </cell>
          <cell r="K64">
            <v>0.1</v>
          </cell>
          <cell r="L64">
            <v>168110</v>
          </cell>
        </row>
        <row r="65">
          <cell r="C65">
            <v>8011021683</v>
          </cell>
          <cell r="D65" t="str">
            <v>45°弯头印尼(日标)PVC-U管件(AW给水系列)灰色 DN250 (10") 联塑</v>
          </cell>
          <cell r="E65" t="str">
            <v>JIS PVC-U 45° Elbow (AW-45L) DN250 (10") Grey - LESSO</v>
          </cell>
          <cell r="F65">
            <v>1</v>
          </cell>
          <cell r="G65">
            <v>213989</v>
          </cell>
          <cell r="H65">
            <v>192783</v>
          </cell>
          <cell r="I65">
            <v>0.12</v>
          </cell>
          <cell r="J65">
            <v>219072</v>
          </cell>
          <cell r="K65">
            <v>0.1</v>
          </cell>
          <cell r="L65">
            <v>214204</v>
          </cell>
        </row>
        <row r="66">
          <cell r="C66">
            <v>8011021684</v>
          </cell>
          <cell r="D66" t="str">
            <v>45°弯头印尼(日标)PVC-U管件(AW给水系列)灰色 DN300 (12") 联塑</v>
          </cell>
          <cell r="E66" t="str">
            <v>JIS PVC-U 45° Elbow (AW-45L) DN300 (12") Grey - LESSO</v>
          </cell>
          <cell r="F66">
            <v>1</v>
          </cell>
          <cell r="G66">
            <v>282307</v>
          </cell>
          <cell r="H66">
            <v>254331</v>
          </cell>
          <cell r="I66">
            <v>0.12</v>
          </cell>
          <cell r="J66">
            <v>289013</v>
          </cell>
          <cell r="K66">
            <v>0.1</v>
          </cell>
          <cell r="L66">
            <v>282590</v>
          </cell>
        </row>
        <row r="67">
          <cell r="C67">
            <v>8010024356</v>
          </cell>
          <cell r="D67" t="str">
            <v>正三通印尼(日标)PVC-U管件(AW给水系列)灰色 DN16 (1/2") 联塑</v>
          </cell>
          <cell r="E67" t="str">
            <v>JIS PVC-U 90° Tee (AW) DN16 (1/2") Grey - LESSO</v>
          </cell>
          <cell r="F67">
            <v>1</v>
          </cell>
          <cell r="G67">
            <v>1780</v>
          </cell>
          <cell r="H67">
            <v>1604</v>
          </cell>
          <cell r="I67">
            <v>0.12</v>
          </cell>
          <cell r="J67">
            <v>1823</v>
          </cell>
          <cell r="K67">
            <v>0.1</v>
          </cell>
          <cell r="L67">
            <v>1783</v>
          </cell>
        </row>
        <row r="68">
          <cell r="C68">
            <v>8010024192</v>
          </cell>
          <cell r="D68" t="str">
            <v>正三通印尼(日标)PVC-U管件(AW给水系列)灰色 DN20 (3/4") 联塑</v>
          </cell>
          <cell r="E68" t="str">
            <v>JIS PVC-U 90° Tee (AW) DN20 (3/4") Grey - LESSO</v>
          </cell>
          <cell r="F68">
            <v>1</v>
          </cell>
          <cell r="G68">
            <v>2249</v>
          </cell>
          <cell r="H68">
            <v>2027</v>
          </cell>
          <cell r="I68">
            <v>0.12</v>
          </cell>
          <cell r="J68">
            <v>2304</v>
          </cell>
          <cell r="K68">
            <v>0.1</v>
          </cell>
          <cell r="L68">
            <v>2253</v>
          </cell>
        </row>
        <row r="69">
          <cell r="C69">
            <v>8010024357</v>
          </cell>
          <cell r="D69" t="str">
            <v>正三通印尼(日标)PVC-U管件(AW给水系列)灰色 DN25 (1") 联塑</v>
          </cell>
          <cell r="E69" t="str">
            <v>JIS PVC-U 90° Tee (AW) DN25 (1") Grey - LESSO</v>
          </cell>
          <cell r="F69">
            <v>1</v>
          </cell>
          <cell r="G69">
            <v>3608</v>
          </cell>
          <cell r="H69">
            <v>3251</v>
          </cell>
          <cell r="I69">
            <v>0.12</v>
          </cell>
          <cell r="J69">
            <v>3695</v>
          </cell>
          <cell r="K69">
            <v>0.1</v>
          </cell>
          <cell r="L69">
            <v>3613</v>
          </cell>
        </row>
        <row r="70">
          <cell r="C70">
            <v>8010024358</v>
          </cell>
          <cell r="D70" t="str">
            <v>正三通印尼(日标)PVC-U管件(AW给水系列)灰色 DN35 (1-1/4") 联塑</v>
          </cell>
          <cell r="E70" t="str">
            <v>JIS PVC-U 90° Tee (AW) DN35 (1-1/4") Grey - LESSO</v>
          </cell>
          <cell r="F70">
            <v>1</v>
          </cell>
          <cell r="G70">
            <v>6850</v>
          </cell>
          <cell r="H70">
            <v>6172</v>
          </cell>
          <cell r="I70">
            <v>0.12</v>
          </cell>
          <cell r="J70">
            <v>7014</v>
          </cell>
          <cell r="K70">
            <v>0.1</v>
          </cell>
          <cell r="L70">
            <v>6858</v>
          </cell>
        </row>
        <row r="71">
          <cell r="C71">
            <v>8010024359</v>
          </cell>
          <cell r="D71" t="str">
            <v>正三通印尼(日标)PVC-U管件(AW给水系列)灰色 DN40 (1-1/2") 联塑</v>
          </cell>
          <cell r="E71" t="str">
            <v>JIS PVC-U 90° Tee (AW) DN40 (1-1/2") Grey - LESSO</v>
          </cell>
          <cell r="F71">
            <v>1</v>
          </cell>
          <cell r="G71">
            <v>9001</v>
          </cell>
          <cell r="H71">
            <v>8110</v>
          </cell>
          <cell r="I71">
            <v>0.12</v>
          </cell>
          <cell r="J71">
            <v>9216</v>
          </cell>
          <cell r="K71">
            <v>0.1</v>
          </cell>
          <cell r="L71">
            <v>9012</v>
          </cell>
        </row>
        <row r="72">
          <cell r="C72">
            <v>8010024360</v>
          </cell>
          <cell r="D72" t="str">
            <v>正三通印尼(日标)PVC-U管件(AW给水系列)灰色 DN50 (2") 联塑</v>
          </cell>
          <cell r="E72" t="str">
            <v>JIS PVC-U 90° Tee (AW) DN50 (2") Grey - LESSO</v>
          </cell>
          <cell r="F72">
            <v>1</v>
          </cell>
          <cell r="G72">
            <v>14281</v>
          </cell>
          <cell r="H72">
            <v>12866</v>
          </cell>
          <cell r="I72">
            <v>0.12</v>
          </cell>
          <cell r="J72">
            <v>14621</v>
          </cell>
          <cell r="K72">
            <v>0.1</v>
          </cell>
          <cell r="L72">
            <v>14296</v>
          </cell>
        </row>
        <row r="73">
          <cell r="C73">
            <v>8010024361</v>
          </cell>
          <cell r="D73" t="str">
            <v>正三通印尼(日标)PVC-U管件(AW给水系列)灰色 DN65 (2-1/2") 联塑</v>
          </cell>
          <cell r="E73" t="str">
            <v>JIS PVC-U 90° Tee (AW) DN65 (2-1/2") Grey - LESSO</v>
          </cell>
          <cell r="F73">
            <v>1</v>
          </cell>
          <cell r="G73">
            <v>23520</v>
          </cell>
          <cell r="H73">
            <v>21190</v>
          </cell>
          <cell r="I73">
            <v>0.12</v>
          </cell>
          <cell r="J73">
            <v>24080</v>
          </cell>
          <cell r="K73">
            <v>0.1</v>
          </cell>
          <cell r="L73">
            <v>23545</v>
          </cell>
        </row>
        <row r="74">
          <cell r="C74">
            <v>8010024362</v>
          </cell>
          <cell r="D74" t="str">
            <v>正三通印尼(日标)PVC-U管件(AW给水系列)灰色 DN75 (3") 联塑</v>
          </cell>
          <cell r="E74" t="str">
            <v>JIS PVC-U 90° Tee (AW) DN75 (3") Grey - LESSO</v>
          </cell>
          <cell r="F74">
            <v>1</v>
          </cell>
          <cell r="G74">
            <v>32883</v>
          </cell>
          <cell r="H74">
            <v>29625</v>
          </cell>
          <cell r="I74">
            <v>0.12</v>
          </cell>
          <cell r="J74">
            <v>33665</v>
          </cell>
          <cell r="K74">
            <v>0.1</v>
          </cell>
          <cell r="L74">
            <v>32917</v>
          </cell>
        </row>
        <row r="75">
          <cell r="C75">
            <v>8010024363</v>
          </cell>
          <cell r="D75" t="str">
            <v>正三通印尼(日标)PVC-U管件(AW给水系列)灰色 DN100 (4") 联塑</v>
          </cell>
          <cell r="E75" t="str">
            <v>JIS PVC-U 90° Tee (AW) DN100 (4") Grey - LESSO</v>
          </cell>
          <cell r="F75">
            <v>1</v>
          </cell>
          <cell r="G75">
            <v>64976</v>
          </cell>
          <cell r="H75">
            <v>58537</v>
          </cell>
          <cell r="I75">
            <v>0.12</v>
          </cell>
          <cell r="J75">
            <v>66520</v>
          </cell>
          <cell r="K75">
            <v>0.1</v>
          </cell>
          <cell r="L75">
            <v>65042</v>
          </cell>
        </row>
        <row r="76">
          <cell r="C76">
            <v>8011021681</v>
          </cell>
          <cell r="D76" t="str">
            <v>正三通印尼(日标)PVC-U管件(AW给水系列)灰色 DN125 (5") 联塑</v>
          </cell>
          <cell r="E76" t="str">
            <v>JIS PVC-U Tee (AW) DN125 (5") Grey - LESSO</v>
          </cell>
          <cell r="F76">
            <v>1</v>
          </cell>
          <cell r="G76">
            <v>119183</v>
          </cell>
          <cell r="H76">
            <v>107373</v>
          </cell>
          <cell r="I76">
            <v>0.12</v>
          </cell>
          <cell r="J76">
            <v>122015</v>
          </cell>
          <cell r="K76">
            <v>0.1</v>
          </cell>
          <cell r="L76">
            <v>119304</v>
          </cell>
        </row>
        <row r="77">
          <cell r="C77">
            <v>8010024982</v>
          </cell>
          <cell r="D77" t="str">
            <v>正三通印尼(日标)PVC-U管件(AW给水系列)灰色 DN150 (6") 联塑</v>
          </cell>
          <cell r="E77" t="str">
            <v>JIS PVC-U Tee (AW) DN150 (6") Grey - LESSO</v>
          </cell>
          <cell r="F77">
            <v>1</v>
          </cell>
          <cell r="G77">
            <v>163272</v>
          </cell>
          <cell r="H77">
            <v>147092</v>
          </cell>
          <cell r="I77">
            <v>0.12</v>
          </cell>
          <cell r="J77">
            <v>167150</v>
          </cell>
          <cell r="K77">
            <v>0.1</v>
          </cell>
          <cell r="L77">
            <v>163436</v>
          </cell>
        </row>
        <row r="78">
          <cell r="C78">
            <v>8011021687</v>
          </cell>
          <cell r="D78" t="str">
            <v>正三通印尼(日标)PVC-U管件(AW给水系列)灰色 DN200 (8") 联塑</v>
          </cell>
          <cell r="E78" t="str">
            <v>JIS PVC-U Tee (AW) DN200 (8") Grey - LESSO</v>
          </cell>
          <cell r="F78">
            <v>1</v>
          </cell>
          <cell r="G78">
            <v>284416</v>
          </cell>
          <cell r="H78">
            <v>256231</v>
          </cell>
          <cell r="I78">
            <v>0.12</v>
          </cell>
          <cell r="J78">
            <v>291172</v>
          </cell>
          <cell r="K78">
            <v>0.1</v>
          </cell>
          <cell r="L78">
            <v>284702</v>
          </cell>
        </row>
        <row r="79">
          <cell r="C79">
            <v>8011021688</v>
          </cell>
          <cell r="D79" t="str">
            <v>正三通印尼(日标)PVC-U管件(AW给水系列)灰色 DN250 (10") 联塑</v>
          </cell>
          <cell r="E79" t="str">
            <v>JIS PVC-U Tee (AW) DN250 (10") Grey - LESSO</v>
          </cell>
          <cell r="F79">
            <v>1</v>
          </cell>
          <cell r="G79">
            <v>429180</v>
          </cell>
          <cell r="H79">
            <v>386649</v>
          </cell>
          <cell r="I79">
            <v>0.12</v>
          </cell>
          <cell r="J79">
            <v>439374</v>
          </cell>
          <cell r="K79">
            <v>0.1</v>
          </cell>
          <cell r="L79">
            <v>429610</v>
          </cell>
        </row>
        <row r="80">
          <cell r="C80">
            <v>8011021823</v>
          </cell>
          <cell r="D80" t="str">
            <v>正三通印尼(日标)PVC-U管件(AW给水系列)灰色 DN300(12") 联塑</v>
          </cell>
          <cell r="E80" t="str">
            <v>JIS PVC-U 90° Tee (AW) DN300 (12") Grey - LESSO</v>
          </cell>
          <cell r="F80">
            <v>1</v>
          </cell>
          <cell r="G80">
            <v>602237</v>
          </cell>
          <cell r="H80">
            <v>542556</v>
          </cell>
          <cell r="I80">
            <v>0.12</v>
          </cell>
          <cell r="J80">
            <v>616541</v>
          </cell>
          <cell r="K80">
            <v>0.1</v>
          </cell>
          <cell r="L80">
            <v>602840</v>
          </cell>
        </row>
        <row r="81">
          <cell r="C81">
            <v>8010024413</v>
          </cell>
          <cell r="D81" t="str">
            <v>异径三通印尼(日标)PVC-U管件(AW给水系列)灰色 DN20x16 (3/4" × 1/2") 联塑</v>
          </cell>
          <cell r="E81" t="str">
            <v>JIS PVC-U Reducing Tee (AW) DN20x16 (3/4" × 1/2") Grey - LESSO</v>
          </cell>
          <cell r="F81">
            <v>1</v>
          </cell>
          <cell r="G81">
            <v>2554</v>
          </cell>
          <cell r="H81">
            <v>2301</v>
          </cell>
          <cell r="I81">
            <v>0.12</v>
          </cell>
          <cell r="J81">
            <v>2615</v>
          </cell>
          <cell r="K81">
            <v>0.1</v>
          </cell>
          <cell r="L81">
            <v>2557</v>
          </cell>
        </row>
        <row r="82">
          <cell r="C82">
            <v>8010024324</v>
          </cell>
          <cell r="D82" t="str">
            <v>异径三通印尼(日标)PVC-U管件(AW给水系列)灰色 DN25x16 (1"x1/2") 联塑</v>
          </cell>
          <cell r="E82" t="str">
            <v>JIS PVC-U Reducing Tee (AW) DN25x16 (1"x1/2") Grey - LESSO</v>
          </cell>
          <cell r="F82">
            <v>1</v>
          </cell>
          <cell r="G82">
            <v>3742</v>
          </cell>
          <cell r="H82">
            <v>3372</v>
          </cell>
          <cell r="I82">
            <v>0.12</v>
          </cell>
          <cell r="J82">
            <v>3832</v>
          </cell>
          <cell r="K82">
            <v>0.1</v>
          </cell>
          <cell r="L82">
            <v>3747</v>
          </cell>
        </row>
        <row r="83">
          <cell r="C83">
            <v>8010024368</v>
          </cell>
          <cell r="D83" t="str">
            <v>异径三通印尼(日标)PVC-U管件(AW给水系列)灰色 DN25x20 (1"x3/4") 联塑</v>
          </cell>
          <cell r="E83" t="str">
            <v>JIS PVC-U Reducing Tee (AW) DN25x20 (1"x3/4") Grey - LESSO</v>
          </cell>
          <cell r="F83">
            <v>1</v>
          </cell>
          <cell r="G83">
            <v>3861</v>
          </cell>
          <cell r="H83">
            <v>3479</v>
          </cell>
          <cell r="I83">
            <v>0.12</v>
          </cell>
          <cell r="J83">
            <v>3954</v>
          </cell>
          <cell r="K83">
            <v>0.1</v>
          </cell>
          <cell r="L83">
            <v>3866</v>
          </cell>
        </row>
        <row r="84">
          <cell r="C84">
            <v>8010024369</v>
          </cell>
          <cell r="D84" t="str">
            <v>异径三通印尼(日标)PVC-U管件(AW给水系列)灰色 DN35x16 (1-1/4"x1/2") 联塑</v>
          </cell>
          <cell r="E84" t="str">
            <v>JIS PVC-U Reducing Tee (AW) DN35x16 (1-1/4"x1/2") Grey - LESSO</v>
          </cell>
          <cell r="F84">
            <v>1</v>
          </cell>
          <cell r="G84">
            <v>5516</v>
          </cell>
          <cell r="H84">
            <v>4970</v>
          </cell>
          <cell r="I84">
            <v>0.12</v>
          </cell>
          <cell r="J84">
            <v>5648</v>
          </cell>
          <cell r="K84">
            <v>0.1</v>
          </cell>
          <cell r="L84">
            <v>5523</v>
          </cell>
        </row>
        <row r="85">
          <cell r="C85">
            <v>8010024414</v>
          </cell>
          <cell r="D85" t="str">
            <v>异径三通印尼(日标)PVC-U管件(AW给水系列)灰色 DN35x20 (1-1/4"x3/4") 联塑</v>
          </cell>
          <cell r="E85" t="str">
            <v>JIS PVC-U Reducing Tee (AW) DN35x20 (1-1/4"x3/4") Grey - LESSO</v>
          </cell>
          <cell r="F85">
            <v>1</v>
          </cell>
          <cell r="G85">
            <v>5941</v>
          </cell>
          <cell r="H85">
            <v>5353</v>
          </cell>
          <cell r="I85">
            <v>0.12</v>
          </cell>
          <cell r="J85">
            <v>6083</v>
          </cell>
          <cell r="K85">
            <v>0.1</v>
          </cell>
          <cell r="L85">
            <v>5948</v>
          </cell>
        </row>
        <row r="86">
          <cell r="C86">
            <v>8010024444</v>
          </cell>
          <cell r="D86" t="str">
            <v>异径三通印尼(日标)PVC-U管件(AW给水系列)灰色 DN35x25 (1-1/4"x1") 联塑</v>
          </cell>
          <cell r="E86" t="str">
            <v>JIS PVC-U Reducing Tee (AW) DN35x25 (1-1/4"x1") Grey - LESSO</v>
          </cell>
          <cell r="F86">
            <v>1</v>
          </cell>
          <cell r="G86">
            <v>6668</v>
          </cell>
          <cell r="H86">
            <v>6008</v>
          </cell>
          <cell r="I86">
            <v>0.12</v>
          </cell>
          <cell r="J86">
            <v>6828</v>
          </cell>
          <cell r="K86">
            <v>0.1</v>
          </cell>
          <cell r="L86">
            <v>6676</v>
          </cell>
        </row>
        <row r="87">
          <cell r="C87">
            <v>8010024370</v>
          </cell>
          <cell r="D87" t="str">
            <v>异径三通印尼(日标)PVC-U管件(AW给水系列)灰色 DN40x16 (1-1/2"x1/2") 联塑</v>
          </cell>
          <cell r="E87" t="str">
            <v>JIS PVC-U Reducing Tee (AW) DN40x16 (1-1/2"x1/2") Grey - LESSO</v>
          </cell>
          <cell r="F87">
            <v>1</v>
          </cell>
          <cell r="G87">
            <v>7561</v>
          </cell>
          <cell r="H87">
            <v>6812</v>
          </cell>
          <cell r="I87">
            <v>0.12</v>
          </cell>
          <cell r="J87">
            <v>7741</v>
          </cell>
          <cell r="K87">
            <v>0.1</v>
          </cell>
          <cell r="L87">
            <v>7569</v>
          </cell>
        </row>
        <row r="88">
          <cell r="C88">
            <v>8010024371</v>
          </cell>
          <cell r="D88" t="str">
            <v>异径三通印尼(日标)PVC-U管件(AW给水系列)灰色 DN40x20 (1-1/2"x3/4") 联塑</v>
          </cell>
          <cell r="E88" t="str">
            <v>JIS PVC-U Reducing Tee (AW) DN40x20 (1-1/2"x3/4") Grey - LESSO</v>
          </cell>
          <cell r="F88">
            <v>1</v>
          </cell>
          <cell r="G88">
            <v>7561</v>
          </cell>
          <cell r="H88">
            <v>6812</v>
          </cell>
          <cell r="I88">
            <v>0.12</v>
          </cell>
          <cell r="J88">
            <v>7741</v>
          </cell>
          <cell r="K88">
            <v>0.1</v>
          </cell>
          <cell r="L88">
            <v>7569</v>
          </cell>
        </row>
        <row r="89">
          <cell r="C89">
            <v>8010024372</v>
          </cell>
          <cell r="D89" t="str">
            <v>异径三通印尼(日标)PVC-U管件(AW给水系列)灰色 DN40x25 (1-1/2"x1") 联塑</v>
          </cell>
          <cell r="E89" t="str">
            <v>JIS PVC-U Reducing Tee (AW) DN40x25 (1-1/2"x1") Grey - LESSO</v>
          </cell>
          <cell r="F89">
            <v>1</v>
          </cell>
          <cell r="G89">
            <v>8101</v>
          </cell>
          <cell r="H89">
            <v>7299</v>
          </cell>
          <cell r="I89">
            <v>0.12</v>
          </cell>
          <cell r="J89">
            <v>8295</v>
          </cell>
          <cell r="K89">
            <v>0.1</v>
          </cell>
          <cell r="L89">
            <v>8110</v>
          </cell>
        </row>
        <row r="90">
          <cell r="C90">
            <v>8010024373</v>
          </cell>
          <cell r="D90" t="str">
            <v>异径三通印尼(日标)PVC-U管件(AW给水系列)灰色 DN40x35 (1-1/2"x1-1/4") 联塑</v>
          </cell>
          <cell r="E90" t="str">
            <v>JIS PVC-U Reducing Tee (AW) DN40x35 (1-1/2"x1-1/4") Grey - LESSO</v>
          </cell>
          <cell r="F90">
            <v>1</v>
          </cell>
          <cell r="G90">
            <v>9001</v>
          </cell>
          <cell r="H90">
            <v>8110</v>
          </cell>
          <cell r="I90">
            <v>0.12</v>
          </cell>
          <cell r="J90">
            <v>9216</v>
          </cell>
          <cell r="K90">
            <v>0.1</v>
          </cell>
          <cell r="L90">
            <v>9012</v>
          </cell>
        </row>
        <row r="91">
          <cell r="C91">
            <v>8010024374</v>
          </cell>
          <cell r="D91" t="str">
            <v>异径三通印尼(日标)PVC-U管件(AW给水系列)灰色 DN50x16 (2"x1/2") 联塑</v>
          </cell>
          <cell r="E91" t="str">
            <v>JIS PVC-U Reducing Tee (AW) DN50x16 (2"x1/2") Grey - LESSO</v>
          </cell>
          <cell r="F91">
            <v>1</v>
          </cell>
          <cell r="G91">
            <v>9061</v>
          </cell>
          <cell r="H91">
            <v>8164</v>
          </cell>
          <cell r="I91">
            <v>0.12</v>
          </cell>
          <cell r="J91">
            <v>9278</v>
          </cell>
          <cell r="K91">
            <v>0.1</v>
          </cell>
          <cell r="L91">
            <v>9072</v>
          </cell>
        </row>
        <row r="92">
          <cell r="C92">
            <v>8010024375</v>
          </cell>
          <cell r="D92" t="str">
            <v>异径三通印尼(日标)PVC-U管件(AW给水系列)灰色 DN50x20 (2"x3/4") 联塑</v>
          </cell>
          <cell r="E92" t="str">
            <v>JIS PVC-U Reducing Tee (AW) DN50x20 (2"x3/4") Grey - LESSO</v>
          </cell>
          <cell r="F92">
            <v>1</v>
          </cell>
          <cell r="G92">
            <v>9181</v>
          </cell>
          <cell r="H92">
            <v>8272</v>
          </cell>
          <cell r="I92">
            <v>0.12</v>
          </cell>
          <cell r="J92">
            <v>9400</v>
          </cell>
          <cell r="K92">
            <v>0.1</v>
          </cell>
          <cell r="L92">
            <v>9192</v>
          </cell>
        </row>
        <row r="93">
          <cell r="C93">
            <v>8010024376</v>
          </cell>
          <cell r="D93" t="str">
            <v>异径三通印尼(日标)PVC-U管件(AW给水系列)灰色 DN50x25 (2"x1") 联塑</v>
          </cell>
          <cell r="E93" t="str">
            <v>JIS PVC-U Reducing Tee (AW) DN50x25 (2"x1") Grey - LESSO</v>
          </cell>
          <cell r="F93">
            <v>1</v>
          </cell>
          <cell r="G93">
            <v>9443</v>
          </cell>
          <cell r="H93">
            <v>8508</v>
          </cell>
          <cell r="I93">
            <v>0.12</v>
          </cell>
          <cell r="J93">
            <v>9669</v>
          </cell>
          <cell r="K93">
            <v>0.1</v>
          </cell>
          <cell r="L93">
            <v>9454</v>
          </cell>
        </row>
        <row r="94">
          <cell r="C94">
            <v>8010024377</v>
          </cell>
          <cell r="D94" t="str">
            <v>异径三通印尼(日标)PVC-U管件(AW给水系列)灰色 DN50x35 (2"x1-1/4") 联塑</v>
          </cell>
          <cell r="E94" t="str">
            <v>JIS PVC-U Reducing Tee (AW) DN50x35 (2"x1-1/4") Grey - LESSO</v>
          </cell>
          <cell r="F94">
            <v>1</v>
          </cell>
          <cell r="G94">
            <v>13154</v>
          </cell>
          <cell r="H94">
            <v>11851</v>
          </cell>
          <cell r="I94">
            <v>0.12</v>
          </cell>
          <cell r="J94">
            <v>13468</v>
          </cell>
          <cell r="K94">
            <v>0.1</v>
          </cell>
          <cell r="L94">
            <v>13168</v>
          </cell>
        </row>
        <row r="95">
          <cell r="C95">
            <v>8010024378</v>
          </cell>
          <cell r="D95" t="str">
            <v>异径三通印尼(日标)PVC-U管件(AW给水系列)灰色 DN50x40 (2"x1-1/2") 联塑</v>
          </cell>
          <cell r="E95" t="str">
            <v>JIS PVC-U Reducing Tee (AW) DN50x40 (2"x1-1/2") Grey - LESSO</v>
          </cell>
          <cell r="F95">
            <v>1</v>
          </cell>
          <cell r="G95">
            <v>13081</v>
          </cell>
          <cell r="H95">
            <v>11785</v>
          </cell>
          <cell r="I95">
            <v>0.12</v>
          </cell>
          <cell r="J95">
            <v>13393</v>
          </cell>
          <cell r="K95">
            <v>0.1</v>
          </cell>
          <cell r="L95">
            <v>13095</v>
          </cell>
        </row>
        <row r="96">
          <cell r="C96">
            <v>8010024415</v>
          </cell>
          <cell r="D96" t="str">
            <v>异径三通印尼(日标)PVC-U管件(AW给水系列)灰色 DN75x50 (3"x2") 联塑</v>
          </cell>
          <cell r="E96" t="str">
            <v>JIS PVC-U Reducing Tee (AW) DN75x50 (3"x2") Grey - LESSO</v>
          </cell>
          <cell r="F96">
            <v>1</v>
          </cell>
          <cell r="G96">
            <v>25263</v>
          </cell>
          <cell r="H96">
            <v>22760</v>
          </cell>
          <cell r="I96">
            <v>0.12</v>
          </cell>
          <cell r="J96">
            <v>25864</v>
          </cell>
          <cell r="K96">
            <v>0.1</v>
          </cell>
          <cell r="L96">
            <v>25289</v>
          </cell>
        </row>
        <row r="97">
          <cell r="C97">
            <v>80516241</v>
          </cell>
          <cell r="D97" t="str">
            <v>异径三通印尼(日标) PVC-U管件(AW给水系列) DN75x25 (3"x1") - RUCIKA</v>
          </cell>
          <cell r="E97" t="str">
            <v>JIS PVC-U Reducing Tee (AW) DN75x25 (3"x1") - RUCIKA</v>
          </cell>
          <cell r="F97">
            <v>1</v>
          </cell>
          <cell r="G97">
            <v>0</v>
          </cell>
          <cell r="H97">
            <v>0</v>
          </cell>
          <cell r="I97">
            <v>0.15</v>
          </cell>
          <cell r="J97">
            <v>0</v>
          </cell>
          <cell r="K97">
            <v>0.15</v>
          </cell>
          <cell r="L97">
            <v>0</v>
          </cell>
        </row>
        <row r="98">
          <cell r="C98">
            <v>80516247</v>
          </cell>
          <cell r="D98" t="str">
            <v>异径三通印尼(日标) PVC-U管件(AW给水系列) DN100x40 (4"x1-1/2") - RUCIKA</v>
          </cell>
          <cell r="E98" t="str">
            <v>JIS PVC-U Reducer Tee (AW) DN100x40 (4"x1-1/2") - RUCIKA</v>
          </cell>
          <cell r="F98">
            <v>1</v>
          </cell>
          <cell r="G98">
            <v>0</v>
          </cell>
          <cell r="H98">
            <v>0</v>
          </cell>
          <cell r="I98">
            <v>0.15</v>
          </cell>
          <cell r="J98">
            <v>0</v>
          </cell>
          <cell r="K98">
            <v>0.15</v>
          </cell>
          <cell r="L98">
            <v>0</v>
          </cell>
        </row>
        <row r="99">
          <cell r="C99">
            <v>80516248</v>
          </cell>
          <cell r="D99" t="str">
            <v>异径三通印尼(日标) PVC-U管件(AW给水系列) DN100x50 (4"x2") - RUCIKA</v>
          </cell>
          <cell r="E99" t="str">
            <v>JIS PVC-U Reducer Tee (AW) DN100x50 (4"x2") - RUCIKA</v>
          </cell>
          <cell r="F99">
            <v>1</v>
          </cell>
          <cell r="G99">
            <v>0</v>
          </cell>
          <cell r="H99">
            <v>0</v>
          </cell>
          <cell r="I99">
            <v>0.15</v>
          </cell>
          <cell r="J99">
            <v>0</v>
          </cell>
          <cell r="K99">
            <v>0.15</v>
          </cell>
          <cell r="L99">
            <v>0</v>
          </cell>
        </row>
        <row r="100">
          <cell r="C100">
            <v>8010024411</v>
          </cell>
          <cell r="D100" t="str">
            <v>外螺纹直接头印尼(日标)PVC-U管件(AW给水系列)灰色 DN16 (1/2") 联塑</v>
          </cell>
          <cell r="E100" t="str">
            <v>JIS PVC-U Valve Socket (AW) DN16 (1/2") Grey - LESSO</v>
          </cell>
          <cell r="F100">
            <v>1</v>
          </cell>
          <cell r="G100">
            <v>1010</v>
          </cell>
          <cell r="H100">
            <v>910</v>
          </cell>
          <cell r="I100">
            <v>0.12</v>
          </cell>
          <cell r="J100">
            <v>1035</v>
          </cell>
          <cell r="K100">
            <v>0.1</v>
          </cell>
          <cell r="L100">
            <v>1012</v>
          </cell>
        </row>
        <row r="101">
          <cell r="C101">
            <v>8010024659</v>
          </cell>
          <cell r="D101" t="str">
            <v>外螺纹直接头印尼(日标)PVC-U管件(AW给水系列)灰色 DN20 (3/4") 联塑</v>
          </cell>
          <cell r="E101" t="str">
            <v>JIS PVC-U Valve Socket (AW) DN20 (3/4") Grey - LESSO</v>
          </cell>
          <cell r="F101">
            <v>1</v>
          </cell>
          <cell r="G101">
            <v>1485</v>
          </cell>
          <cell r="H101">
            <v>1338</v>
          </cell>
          <cell r="I101">
            <v>0.12</v>
          </cell>
          <cell r="J101">
            <v>1521</v>
          </cell>
          <cell r="K101">
            <v>0.1</v>
          </cell>
          <cell r="L101">
            <v>1487</v>
          </cell>
        </row>
        <row r="102">
          <cell r="C102">
            <v>8010024412</v>
          </cell>
          <cell r="D102" t="str">
            <v>外螺纹直接头印尼(日标)PVC-U管件(AW给水系列)灰色 DN25 (1") 联塑</v>
          </cell>
          <cell r="E102" t="str">
            <v>JIS PVC-U Valve Socket (AW) DN25 (1") Grey - LESSO</v>
          </cell>
          <cell r="F102">
            <v>1</v>
          </cell>
          <cell r="G102">
            <v>1901</v>
          </cell>
          <cell r="H102">
            <v>1713</v>
          </cell>
          <cell r="I102">
            <v>0.12</v>
          </cell>
          <cell r="J102">
            <v>1947</v>
          </cell>
          <cell r="K102">
            <v>0.1</v>
          </cell>
          <cell r="L102">
            <v>1904</v>
          </cell>
        </row>
        <row r="103">
          <cell r="C103">
            <v>8010024660</v>
          </cell>
          <cell r="D103" t="str">
            <v>外螺纹直接头印尼(日标)PVC-U管件(AW给水系列)灰色 DN35 (1-1/4") 联塑</v>
          </cell>
          <cell r="E103" t="str">
            <v>JIS PVC-U Valve Socket (AW) DN35 (1-1/4") Grey - LESSO</v>
          </cell>
          <cell r="F103">
            <v>1</v>
          </cell>
          <cell r="G103">
            <v>3455</v>
          </cell>
          <cell r="H103">
            <v>3113</v>
          </cell>
          <cell r="I103">
            <v>0.12</v>
          </cell>
          <cell r="J103">
            <v>3538</v>
          </cell>
          <cell r="K103">
            <v>0.1</v>
          </cell>
          <cell r="L103">
            <v>3459</v>
          </cell>
        </row>
        <row r="104">
          <cell r="C104">
            <v>8010024367</v>
          </cell>
          <cell r="D104" t="str">
            <v>外螺纹直接头印尼(日标)PVC-U管件(AW给水系列)灰色 DN40 (1-1/2") 联塑</v>
          </cell>
          <cell r="E104" t="str">
            <v>JIS PVC-U Valve Socket (AW) DN40 (1-1/2") Grey - LESSO</v>
          </cell>
          <cell r="F104">
            <v>1</v>
          </cell>
          <cell r="G104">
            <v>4681</v>
          </cell>
          <cell r="H104">
            <v>4218</v>
          </cell>
          <cell r="I104">
            <v>0.12</v>
          </cell>
          <cell r="J104">
            <v>4794</v>
          </cell>
          <cell r="K104">
            <v>0.1</v>
          </cell>
          <cell r="L104">
            <v>4687</v>
          </cell>
        </row>
        <row r="105">
          <cell r="C105">
            <v>8010024442</v>
          </cell>
          <cell r="D105" t="str">
            <v>外螺纹直接头印尼(日标)PVC-U管件(AW给水系列)灰色 DN50 (2") 联塑</v>
          </cell>
          <cell r="E105" t="str">
            <v>JIS PVC-U Valve Socket (AW) DN50 (2") Grey - LESSO</v>
          </cell>
          <cell r="F105">
            <v>1</v>
          </cell>
          <cell r="G105">
            <v>6781</v>
          </cell>
          <cell r="H105">
            <v>6110</v>
          </cell>
          <cell r="I105">
            <v>0.12</v>
          </cell>
          <cell r="J105">
            <v>6944</v>
          </cell>
          <cell r="K105">
            <v>0.1</v>
          </cell>
          <cell r="L105">
            <v>6789</v>
          </cell>
        </row>
        <row r="106">
          <cell r="C106">
            <v>8010024810</v>
          </cell>
          <cell r="D106" t="str">
            <v>外螺纹直接头印尼(日标)PVC-U管件(AW给水系列)灰色 DN75 (3") 联塑</v>
          </cell>
          <cell r="E106" t="str">
            <v>JIS PVC-U Valve Socket (AW) DN75 (3") Grey - LESSO</v>
          </cell>
          <cell r="F106">
            <v>1</v>
          </cell>
          <cell r="G106">
            <v>15722</v>
          </cell>
          <cell r="H106">
            <v>14164</v>
          </cell>
          <cell r="I106">
            <v>0.12</v>
          </cell>
          <cell r="J106">
            <v>16096</v>
          </cell>
          <cell r="K106">
            <v>0.1</v>
          </cell>
          <cell r="L106">
            <v>15738</v>
          </cell>
        </row>
        <row r="107">
          <cell r="C107">
            <v>8010024443</v>
          </cell>
          <cell r="D107" t="str">
            <v>外螺纹直接头印尼(日标)PVC-U管件(AW给水系列)灰色 DN100 (4") 联塑</v>
          </cell>
          <cell r="E107" t="str">
            <v>JIS PVC-U Valve Socket (AW) DN100 (4") Grey - LESSO</v>
          </cell>
          <cell r="F107">
            <v>1</v>
          </cell>
          <cell r="G107">
            <v>27440</v>
          </cell>
          <cell r="H107">
            <v>24721</v>
          </cell>
          <cell r="I107">
            <v>0.12</v>
          </cell>
          <cell r="J107">
            <v>28093</v>
          </cell>
          <cell r="K107">
            <v>0.1</v>
          </cell>
          <cell r="L107">
            <v>27468</v>
          </cell>
        </row>
        <row r="108">
          <cell r="C108">
            <v>8010024561</v>
          </cell>
          <cell r="D108" t="str">
            <v>外螺纹异径直接头印尼(日标)PVC-U管件(AW给水系列)灰色 DN16x25 (1/2"x1") 联塑</v>
          </cell>
          <cell r="E108" t="str">
            <v>JIS PVC-U Valve Socket (AW) DN16x25 (1/2"x1") Grey - LESSO</v>
          </cell>
          <cell r="F108">
            <v>1</v>
          </cell>
          <cell r="G108">
            <v>1604</v>
          </cell>
          <cell r="H108">
            <v>1446</v>
          </cell>
          <cell r="I108">
            <v>0.12</v>
          </cell>
          <cell r="J108">
            <v>1644</v>
          </cell>
          <cell r="K108">
            <v>0.1</v>
          </cell>
          <cell r="L108">
            <v>1607</v>
          </cell>
        </row>
        <row r="109">
          <cell r="C109">
            <v>8010024658</v>
          </cell>
          <cell r="D109" t="str">
            <v>外螺纹异径直接头印尼(日标)PVC-U管件(AW给水系列)灰色 DN20x16 (3/4"x1/2") 联塑</v>
          </cell>
          <cell r="E109" t="str">
            <v>JIS PVC-U Valve Socket (AW) DN20x16 (3/4"x1/2") Grey - LESSO</v>
          </cell>
          <cell r="F109">
            <v>1</v>
          </cell>
          <cell r="G109">
            <v>1426</v>
          </cell>
          <cell r="H109">
            <v>1285</v>
          </cell>
          <cell r="I109">
            <v>0.12</v>
          </cell>
          <cell r="J109">
            <v>1461</v>
          </cell>
          <cell r="K109">
            <v>0.1</v>
          </cell>
          <cell r="L109">
            <v>1428</v>
          </cell>
        </row>
        <row r="110">
          <cell r="C110">
            <v>8010024549</v>
          </cell>
          <cell r="D110" t="str">
            <v>外螺纹异径直接头印尼(日标)PVC-U管件(AW给水系列)灰色 DN20x25 (3/4x1") 联塑</v>
          </cell>
          <cell r="E110" t="str">
            <v>JIS PVC-U Valve Socket (AW) DN20x25 (3/4x1") Grey - LESSO</v>
          </cell>
          <cell r="F110">
            <v>1</v>
          </cell>
          <cell r="G110">
            <v>1663</v>
          </cell>
          <cell r="H110">
            <v>1499</v>
          </cell>
          <cell r="I110">
            <v>0.12</v>
          </cell>
          <cell r="J110">
            <v>1704</v>
          </cell>
          <cell r="K110">
            <v>0.1</v>
          </cell>
          <cell r="L110">
            <v>1666</v>
          </cell>
        </row>
        <row r="111">
          <cell r="C111">
            <v>8010024365</v>
          </cell>
          <cell r="D111" t="str">
            <v>内螺纹直接头印尼(日标)PVC-U管件(AW给水系列)灰色 DN16 (1/2") 联塑</v>
          </cell>
          <cell r="E111" t="str">
            <v>JIS PVC-U Faucet Socket (AW) DN16 (1/2") Grey - LESSO</v>
          </cell>
          <cell r="F111">
            <v>1</v>
          </cell>
          <cell r="G111">
            <v>1307</v>
          </cell>
          <cell r="H111">
            <v>1178</v>
          </cell>
          <cell r="I111">
            <v>0.12</v>
          </cell>
          <cell r="J111">
            <v>1339</v>
          </cell>
          <cell r="K111">
            <v>0.1</v>
          </cell>
          <cell r="L111">
            <v>1309</v>
          </cell>
        </row>
        <row r="112">
          <cell r="C112">
            <v>8010024323</v>
          </cell>
          <cell r="D112" t="str">
            <v>内螺纹直接头印尼(日标)PVC-U管件(AW给水系列)灰色 DN20 (3/4") 联塑</v>
          </cell>
          <cell r="E112" t="str">
            <v>JIS PVC-U Faucet Socket (AW) DN20 (3/4") Grey - LESSO</v>
          </cell>
          <cell r="F112">
            <v>1</v>
          </cell>
          <cell r="G112">
            <v>1663</v>
          </cell>
          <cell r="H112">
            <v>1499</v>
          </cell>
          <cell r="I112">
            <v>0.12</v>
          </cell>
          <cell r="J112">
            <v>1704</v>
          </cell>
          <cell r="K112">
            <v>0.1</v>
          </cell>
          <cell r="L112">
            <v>1666</v>
          </cell>
        </row>
        <row r="113">
          <cell r="C113">
            <v>8010024423</v>
          </cell>
          <cell r="D113" t="str">
            <v>内螺纹直接头印尼(日标)PVC-U管件(AW给水系列)灰色 DN25 (1") 联塑</v>
          </cell>
          <cell r="E113" t="str">
            <v>JIS PVC-U Faucet Socket (AW) DN25 (1") Grey - LESSO</v>
          </cell>
          <cell r="F113">
            <v>1</v>
          </cell>
          <cell r="G113">
            <v>2732</v>
          </cell>
          <cell r="H113">
            <v>2462</v>
          </cell>
          <cell r="I113">
            <v>0.12</v>
          </cell>
          <cell r="J113">
            <v>2798</v>
          </cell>
          <cell r="K113">
            <v>0.1</v>
          </cell>
          <cell r="L113">
            <v>2736</v>
          </cell>
        </row>
        <row r="114">
          <cell r="C114">
            <v>8010024366</v>
          </cell>
          <cell r="D114" t="str">
            <v>内螺纹直接头印尼(日标)PVC-U管件(AW给水系列)灰色 DN35 (1-1/4") 联塑</v>
          </cell>
          <cell r="E114" t="str">
            <v>JIS PVC-U Faucet Socket (AW) DN35 (1-1/4") Grey - LESSO</v>
          </cell>
          <cell r="F114">
            <v>1</v>
          </cell>
          <cell r="G114">
            <v>4183</v>
          </cell>
          <cell r="H114">
            <v>3769</v>
          </cell>
          <cell r="I114">
            <v>0.12</v>
          </cell>
          <cell r="J114">
            <v>4283</v>
          </cell>
          <cell r="K114">
            <v>0.1</v>
          </cell>
          <cell r="L114">
            <v>4188</v>
          </cell>
        </row>
        <row r="115">
          <cell r="C115">
            <v>8010024321</v>
          </cell>
          <cell r="D115" t="str">
            <v>内螺纹直接头印尼(日标)PVC-U管件(AW给水系列)灰色 DN40 (1-1/2") 联塑</v>
          </cell>
          <cell r="E115" t="str">
            <v>JIS PVC-U Faucet Socket (AW) DN40 (1-1/2") Grey - LESSO</v>
          </cell>
          <cell r="F115">
            <v>1</v>
          </cell>
          <cell r="G115">
            <v>5461</v>
          </cell>
          <cell r="H115">
            <v>4920</v>
          </cell>
          <cell r="I115">
            <v>0.12</v>
          </cell>
          <cell r="J115">
            <v>5591</v>
          </cell>
          <cell r="K115">
            <v>0.1</v>
          </cell>
          <cell r="L115">
            <v>5467</v>
          </cell>
        </row>
        <row r="116">
          <cell r="C116">
            <v>8010024322</v>
          </cell>
          <cell r="D116" t="str">
            <v>内螺纹直接头印尼(日标)PVC-U管件(AW给水系列)灰色 DN50 (2") 联塑</v>
          </cell>
          <cell r="E116" t="str">
            <v>JIS PVC-U Faucet Socket (AW) DN50 (2") Grey - LESSO</v>
          </cell>
          <cell r="F116">
            <v>1</v>
          </cell>
          <cell r="G116">
            <v>6781</v>
          </cell>
          <cell r="H116">
            <v>6110</v>
          </cell>
          <cell r="I116">
            <v>0.12</v>
          </cell>
          <cell r="J116">
            <v>6944</v>
          </cell>
          <cell r="K116">
            <v>0.1</v>
          </cell>
          <cell r="L116">
            <v>6789</v>
          </cell>
        </row>
        <row r="117">
          <cell r="C117">
            <v>8010024548</v>
          </cell>
          <cell r="D117" t="str">
            <v>内螺纹异径直接头印尼(日标)PVC-U管件(AW给水系列)灰色 DN16x25 (1/2"x1") 联塑</v>
          </cell>
          <cell r="E117" t="str">
            <v>JIS PVC-U Faucet Socket (AW) DN16x25 (1/2"x1") Grey - LESSO</v>
          </cell>
          <cell r="F117">
            <v>1</v>
          </cell>
          <cell r="G117">
            <v>1663</v>
          </cell>
          <cell r="H117">
            <v>1499</v>
          </cell>
          <cell r="I117">
            <v>0.12</v>
          </cell>
          <cell r="J117">
            <v>1704</v>
          </cell>
          <cell r="K117">
            <v>0.1</v>
          </cell>
          <cell r="L117">
            <v>1666</v>
          </cell>
        </row>
        <row r="118">
          <cell r="C118">
            <v>8010024876</v>
          </cell>
          <cell r="D118" t="str">
            <v>内螺纹异径直接头印尼(日标)PVC-U管件(AW给水系列)灰色 DN20x16 (3/4"x1/2") 联塑</v>
          </cell>
          <cell r="E118" t="str">
            <v>JIS PVC-U Faucet Socket (AW) DN20x16 (3/4"x1/2") Grey - LESSO</v>
          </cell>
          <cell r="F118">
            <v>1</v>
          </cell>
          <cell r="G118">
            <v>1545</v>
          </cell>
          <cell r="H118">
            <v>1392</v>
          </cell>
          <cell r="I118">
            <v>0.12</v>
          </cell>
          <cell r="J118">
            <v>1582</v>
          </cell>
          <cell r="K118">
            <v>0.1</v>
          </cell>
          <cell r="L118">
            <v>1547</v>
          </cell>
        </row>
        <row r="119">
          <cell r="C119">
            <v>8010024320</v>
          </cell>
          <cell r="D119" t="str">
            <v>内螺纹异径直接头印尼(日标)PVC-U管件(AW给水系列)灰色 DN20x25 (3/4"x1") 联塑</v>
          </cell>
          <cell r="E119" t="str">
            <v>JIS PVC-U Faucet Socket (AW) DN20x25 (3/4"x1") Grey - LESSO</v>
          </cell>
          <cell r="F119">
            <v>1</v>
          </cell>
          <cell r="G119">
            <v>2198</v>
          </cell>
          <cell r="H119">
            <v>1981</v>
          </cell>
          <cell r="I119">
            <v>0.12</v>
          </cell>
          <cell r="J119">
            <v>2252</v>
          </cell>
          <cell r="K119">
            <v>0.1</v>
          </cell>
          <cell r="L119">
            <v>2202</v>
          </cell>
        </row>
        <row r="120">
          <cell r="C120">
            <v>8010024408</v>
          </cell>
          <cell r="D120" t="str">
            <v>内螺纹异径直接头印尼(日标)PVC-U管件(AW给水系列)灰色 DN25x16 (1"x1/2") 联塑</v>
          </cell>
          <cell r="E120" t="str">
            <v>JIS PVC-U Faucet Socket (AW) DN25x16 (1"x1/2") Grey - LESSO</v>
          </cell>
          <cell r="F120">
            <v>1</v>
          </cell>
          <cell r="G120">
            <v>2079</v>
          </cell>
          <cell r="H120">
            <v>1873</v>
          </cell>
          <cell r="I120">
            <v>0.12</v>
          </cell>
          <cell r="J120">
            <v>2129</v>
          </cell>
          <cell r="K120">
            <v>0.1</v>
          </cell>
          <cell r="L120">
            <v>2082</v>
          </cell>
        </row>
        <row r="121">
          <cell r="C121">
            <v>8010024389</v>
          </cell>
          <cell r="D121" t="str">
            <v>铜内丝直接头印尼(日标)PVC-U管件(AW给水系列)灰色 DN16 (1/2") 联塑</v>
          </cell>
          <cell r="E121" t="str">
            <v>JIS PVC-U Faucet Socket With Metal Insert (AW) DN16 (1/2") Grey - LESSO</v>
          </cell>
          <cell r="F121">
            <v>1</v>
          </cell>
          <cell r="G121">
            <v>6177</v>
          </cell>
          <cell r="H121">
            <v>5565</v>
          </cell>
          <cell r="I121">
            <v>0.12</v>
          </cell>
          <cell r="J121">
            <v>6324</v>
          </cell>
          <cell r="K121">
            <v>0.1</v>
          </cell>
          <cell r="L121">
            <v>6184</v>
          </cell>
        </row>
        <row r="122">
          <cell r="C122">
            <v>8010024197</v>
          </cell>
          <cell r="D122" t="str">
            <v>铜内丝直接头印尼(日标)PVC-U管件(AW给水系列)灰色 DN20 (3/4") 联塑</v>
          </cell>
          <cell r="E122" t="str">
            <v>JIS PVC-U Faucet Socket With Metal Insert (AW) DN20 (3/4") Grey - LESSO</v>
          </cell>
          <cell r="F122">
            <v>1</v>
          </cell>
          <cell r="G122">
            <v>9919</v>
          </cell>
          <cell r="H122">
            <v>8937</v>
          </cell>
          <cell r="I122">
            <v>0.12</v>
          </cell>
          <cell r="J122">
            <v>10156</v>
          </cell>
          <cell r="K122">
            <v>0.1</v>
          </cell>
          <cell r="L122">
            <v>9930</v>
          </cell>
        </row>
        <row r="123">
          <cell r="C123">
            <v>8010024198</v>
          </cell>
          <cell r="D123" t="str">
            <v>铜内丝直接头印尼(日标)PVC-U管件(AW给水系列)灰色 DN20x16 (3/4"x1/2") 联塑</v>
          </cell>
          <cell r="E123" t="str">
            <v>JIS PVC-U Faucet Socket With Metal Insert (AW) DN20x16 (3/4"x1/2") Grey - LESSO</v>
          </cell>
          <cell r="F123">
            <v>1</v>
          </cell>
          <cell r="G123">
            <v>8790</v>
          </cell>
          <cell r="H123">
            <v>7919</v>
          </cell>
          <cell r="I123">
            <v>0.12</v>
          </cell>
          <cell r="J123">
            <v>8999</v>
          </cell>
          <cell r="K123">
            <v>0.1</v>
          </cell>
          <cell r="L123">
            <v>8799</v>
          </cell>
        </row>
        <row r="124">
          <cell r="C124" t="str">
            <v>GPR-PP04C03009</v>
          </cell>
          <cell r="D124" t="str">
            <v>铜内丝直接头印尼(日标)PVC-U管件(AW给水系列) DN16 (1/2") - RUCIKA</v>
          </cell>
          <cell r="E124" t="str">
            <v>JIS PVC-U Faucet Socket With Metal Insert (AW) DN16 (1/2") - RUCIKA</v>
          </cell>
          <cell r="F124">
            <v>1</v>
          </cell>
          <cell r="G124">
            <v>0</v>
          </cell>
          <cell r="H124">
            <v>0</v>
          </cell>
          <cell r="I124">
            <v>0.15</v>
          </cell>
          <cell r="J124">
            <v>0</v>
          </cell>
          <cell r="K124">
            <v>0.15</v>
          </cell>
          <cell r="L124">
            <v>0</v>
          </cell>
        </row>
        <row r="125">
          <cell r="C125">
            <v>8010024364</v>
          </cell>
          <cell r="D125" t="str">
            <v>内螺纹三通印尼(日标)PVC-U管件(AW给水系列)灰色 DN16 (1/2") 联塑</v>
          </cell>
          <cell r="E125" t="str">
            <v>JIS PVC-U Faucet Tee (AW) DN16 (1/2") Grey - LESSO</v>
          </cell>
          <cell r="F125">
            <v>1</v>
          </cell>
          <cell r="G125">
            <v>2435</v>
          </cell>
          <cell r="H125">
            <v>2194</v>
          </cell>
          <cell r="I125">
            <v>0.12</v>
          </cell>
          <cell r="J125">
            <v>2494</v>
          </cell>
          <cell r="K125">
            <v>0.1</v>
          </cell>
          <cell r="L125">
            <v>2438</v>
          </cell>
        </row>
        <row r="126">
          <cell r="C126">
            <v>8010024421</v>
          </cell>
          <cell r="D126" t="str">
            <v>内螺纹三通印尼(日标)PVC-U管件(AW给水系列)灰色 DN20 (3/4") 联塑</v>
          </cell>
          <cell r="E126" t="str">
            <v>JIS PVC-U Faucet Tee (AW) DN20 (3/4") Grey - LESSO</v>
          </cell>
          <cell r="F126">
            <v>1</v>
          </cell>
          <cell r="G126">
            <v>2732</v>
          </cell>
          <cell r="H126">
            <v>2462</v>
          </cell>
          <cell r="I126">
            <v>0.12</v>
          </cell>
          <cell r="J126">
            <v>2798</v>
          </cell>
          <cell r="K126">
            <v>0.1</v>
          </cell>
          <cell r="L126">
            <v>2736</v>
          </cell>
        </row>
        <row r="127">
          <cell r="C127">
            <v>8010024440</v>
          </cell>
          <cell r="D127" t="str">
            <v>内螺纹异径三通印尼(日标)PVC-U管件(AW给水系列)灰色 DN20x16 (3/4"x1/2") 联塑</v>
          </cell>
          <cell r="E127" t="str">
            <v>JIS PVC-U Faucet Tee (AW) DN20x16 (3/4"x1/2") Grey - LESSO</v>
          </cell>
          <cell r="F127">
            <v>1</v>
          </cell>
          <cell r="G127">
            <v>2623</v>
          </cell>
          <cell r="H127">
            <v>2364</v>
          </cell>
          <cell r="I127">
            <v>0.12</v>
          </cell>
          <cell r="J127">
            <v>2687</v>
          </cell>
          <cell r="K127">
            <v>0.1</v>
          </cell>
          <cell r="L127">
            <v>2627</v>
          </cell>
        </row>
        <row r="128">
          <cell r="C128">
            <v>8010024422</v>
          </cell>
          <cell r="D128" t="str">
            <v>内螺纹异径三通印尼(日标)PVC-U管件(AW给水系列)灰色 DN25x16 (1"x1/2") 联塑</v>
          </cell>
          <cell r="E128" t="str">
            <v>JIS PVC-U Faucet Tee (AW) DN25x16 (1"x1/2") Grey - LESSO</v>
          </cell>
          <cell r="F128">
            <v>1</v>
          </cell>
          <cell r="G128">
            <v>3660</v>
          </cell>
          <cell r="H128">
            <v>3298</v>
          </cell>
          <cell r="I128">
            <v>0.12</v>
          </cell>
          <cell r="J128">
            <v>3748</v>
          </cell>
          <cell r="K128">
            <v>0.1</v>
          </cell>
          <cell r="L128">
            <v>3665</v>
          </cell>
        </row>
        <row r="129">
          <cell r="C129">
            <v>8010024563</v>
          </cell>
          <cell r="D129" t="str">
            <v>铜内丝三通印尼(日标)PVC-U管件(AW给水系列)灰色 DN16 (1/2") 联塑</v>
          </cell>
          <cell r="E129" t="str">
            <v>JIS PVC-U Faucet Tee With Metal Insert (AW) DN16 (1/2") Grey - LESSO</v>
          </cell>
          <cell r="F129">
            <v>1</v>
          </cell>
          <cell r="G129">
            <v>9681</v>
          </cell>
          <cell r="H129">
            <v>8722</v>
          </cell>
          <cell r="I129">
            <v>0.12</v>
          </cell>
          <cell r="J129">
            <v>9912</v>
          </cell>
          <cell r="K129">
            <v>0.1</v>
          </cell>
          <cell r="L129">
            <v>9692</v>
          </cell>
        </row>
        <row r="130">
          <cell r="C130">
            <v>8010024424</v>
          </cell>
          <cell r="D130" t="str">
            <v>铜内丝三通印尼(日标)PVC-U管件(AW给水系列) 灰色 DN20 (3/4") 联塑</v>
          </cell>
          <cell r="E130" t="str">
            <v>JIS PVC-U Faucet Tee With Metal Insert (AW) DN20 (3/4") - LESSO</v>
          </cell>
          <cell r="F130">
            <v>1</v>
          </cell>
          <cell r="G130">
            <v>17462</v>
          </cell>
          <cell r="H130">
            <v>15732</v>
          </cell>
          <cell r="I130">
            <v>0.12</v>
          </cell>
          <cell r="J130">
            <v>17878</v>
          </cell>
          <cell r="K130">
            <v>0.1</v>
          </cell>
          <cell r="L130">
            <v>17480</v>
          </cell>
        </row>
        <row r="131">
          <cell r="C131">
            <v>8010024425</v>
          </cell>
          <cell r="D131" t="str">
            <v>铜内丝三通印尼(日标)PVC-U管件(AW给水系列)灰色 DN20x16 (3/4"x1/2") 联塑</v>
          </cell>
          <cell r="E131" t="str">
            <v>JIS PVC-U Faucet Tee With Metal Insert (AW) DN20x16 (3/4"x1/2") Grey - LESSO</v>
          </cell>
          <cell r="F131">
            <v>1</v>
          </cell>
          <cell r="G131">
            <v>10038</v>
          </cell>
          <cell r="H131">
            <v>9044</v>
          </cell>
          <cell r="I131">
            <v>0.12</v>
          </cell>
          <cell r="J131">
            <v>10278</v>
          </cell>
          <cell r="K131">
            <v>0.1</v>
          </cell>
          <cell r="L131">
            <v>10049</v>
          </cell>
        </row>
        <row r="132">
          <cell r="C132">
            <v>8010024875</v>
          </cell>
          <cell r="D132" t="str">
            <v>内螺纹弯头印尼(日标)PVC-U管件(AW给水系列)灰色 DN16 (1/2") 联塑</v>
          </cell>
          <cell r="E132" t="str">
            <v>JIS PVC-U Faucet Elbow (AW) DN16 (1/2") Grey - LESSO</v>
          </cell>
          <cell r="F132">
            <v>1</v>
          </cell>
          <cell r="G132">
            <v>1485</v>
          </cell>
          <cell r="H132">
            <v>1338</v>
          </cell>
          <cell r="I132">
            <v>0.12</v>
          </cell>
          <cell r="J132">
            <v>1521</v>
          </cell>
          <cell r="K132">
            <v>0.1</v>
          </cell>
          <cell r="L132">
            <v>1487</v>
          </cell>
        </row>
        <row r="133">
          <cell r="C133">
            <v>8010024806</v>
          </cell>
          <cell r="D133" t="str">
            <v>内螺纹弯头印尼(日标)PVC-U管件(AW给水系列)灰色 DN20 (3/4") 联塑</v>
          </cell>
          <cell r="E133" t="str">
            <v>JIS PVC-U Faucet Elbow (AW) DN20 (3/4") Grey - LESSO</v>
          </cell>
          <cell r="F133">
            <v>1</v>
          </cell>
          <cell r="G133">
            <v>2198</v>
          </cell>
          <cell r="H133">
            <v>1981</v>
          </cell>
          <cell r="I133">
            <v>0.12</v>
          </cell>
          <cell r="J133">
            <v>2252</v>
          </cell>
          <cell r="K133">
            <v>0.1</v>
          </cell>
          <cell r="L133">
            <v>2202</v>
          </cell>
        </row>
        <row r="134">
          <cell r="C134">
            <v>8010024562</v>
          </cell>
          <cell r="D134" t="str">
            <v>内螺纹弯头印尼(日标)PVC-U管件(AW给水系列)灰色 DN25 (1") 联塑</v>
          </cell>
          <cell r="E134" t="str">
            <v>JIS PVC-U Faucet Elbow (AW) DN25 (1") Grey - LESSO</v>
          </cell>
          <cell r="F134">
            <v>1</v>
          </cell>
          <cell r="G134">
            <v>3148</v>
          </cell>
          <cell r="H134">
            <v>2837</v>
          </cell>
          <cell r="I134">
            <v>0.12</v>
          </cell>
          <cell r="J134">
            <v>3224</v>
          </cell>
          <cell r="K134">
            <v>0.1</v>
          </cell>
          <cell r="L134">
            <v>3153</v>
          </cell>
        </row>
        <row r="135">
          <cell r="C135">
            <v>8010024449</v>
          </cell>
          <cell r="D135" t="str">
            <v>铜内丝弯头印尼(日标)PVC-U管件(AW给水系列)灰色 DN16 (1/2") 联塑</v>
          </cell>
          <cell r="E135" t="str">
            <v>JIS PVC-U Faucet Elbow With Metal Insert (AW) DN16 (1/2") Grey - LESSO</v>
          </cell>
          <cell r="F135">
            <v>1</v>
          </cell>
          <cell r="G135">
            <v>6177</v>
          </cell>
          <cell r="H135">
            <v>5565</v>
          </cell>
          <cell r="I135">
            <v>0.12</v>
          </cell>
          <cell r="J135">
            <v>6324</v>
          </cell>
          <cell r="K135">
            <v>0.1</v>
          </cell>
          <cell r="L135">
            <v>6184</v>
          </cell>
        </row>
        <row r="136">
          <cell r="C136">
            <v>8010024418</v>
          </cell>
          <cell r="D136" t="str">
            <v>铜内丝弯头印尼(日标)PVC-U管件(AW给水系列)灰色 DN20 (3/4") 联塑</v>
          </cell>
          <cell r="E136" t="str">
            <v>JIS PVC-U Faucet Elbow With Metal Insert (AW) DN20 (3/4") Grey - LESSO</v>
          </cell>
          <cell r="F136">
            <v>1</v>
          </cell>
          <cell r="G136">
            <v>10453</v>
          </cell>
          <cell r="H136">
            <v>9418</v>
          </cell>
          <cell r="I136">
            <v>0.12</v>
          </cell>
          <cell r="J136">
            <v>10703</v>
          </cell>
          <cell r="K136">
            <v>0.1</v>
          </cell>
          <cell r="L136">
            <v>10465</v>
          </cell>
        </row>
        <row r="137">
          <cell r="C137">
            <v>8010024426</v>
          </cell>
          <cell r="D137" t="str">
            <v>铜内丝弯头印尼(日标)PVC-U管件(AW给水系列)灰色 DN20x16 (3/4"x1/2") 联塑</v>
          </cell>
          <cell r="E137" t="str">
            <v>JIS PVC-U Faucet Elbow With Metal Insert (AW) DN20x16 (3/4"x1/2") Grey - LESSO</v>
          </cell>
          <cell r="F137">
            <v>1</v>
          </cell>
          <cell r="G137">
            <v>8968</v>
          </cell>
          <cell r="H137">
            <v>8080</v>
          </cell>
          <cell r="I137">
            <v>0.12</v>
          </cell>
          <cell r="J137">
            <v>9182</v>
          </cell>
          <cell r="K137">
            <v>0.1</v>
          </cell>
          <cell r="L137">
            <v>8978</v>
          </cell>
        </row>
        <row r="138">
          <cell r="C138">
            <v>8010024807</v>
          </cell>
          <cell r="D138" t="str">
            <v>内螺纹异径弯头印尼(日标)PVC-U管件(AW给水系列)灰色 DN20x16 (3/4"x1/2") 联塑</v>
          </cell>
          <cell r="E138" t="str">
            <v>JIS PVC-U Faucet Elbow (AW) DN20x16 (3/4"x1/2") Grey - LESSO</v>
          </cell>
          <cell r="F138">
            <v>1</v>
          </cell>
          <cell r="G138">
            <v>1663</v>
          </cell>
          <cell r="H138">
            <v>1499</v>
          </cell>
          <cell r="I138">
            <v>0.12</v>
          </cell>
          <cell r="J138">
            <v>1704</v>
          </cell>
          <cell r="K138">
            <v>0.1</v>
          </cell>
          <cell r="L138">
            <v>1666</v>
          </cell>
        </row>
        <row r="139">
          <cell r="C139">
            <v>8010024808</v>
          </cell>
          <cell r="D139" t="str">
            <v>内螺纹异径弯头印尼(日标)PVC-U管件(AW给水系列)灰色 DN25x16 (1"x1/2") 联塑</v>
          </cell>
          <cell r="E139" t="str">
            <v>JIS PVC-U Faucet Elbow (AW) DN25x16 (1"x1/2") Grey - LESSO</v>
          </cell>
          <cell r="F139">
            <v>1</v>
          </cell>
          <cell r="G139">
            <v>2376</v>
          </cell>
          <cell r="H139">
            <v>2141</v>
          </cell>
          <cell r="I139">
            <v>0.12</v>
          </cell>
          <cell r="J139">
            <v>2433</v>
          </cell>
          <cell r="K139">
            <v>0.1</v>
          </cell>
          <cell r="L139">
            <v>2379</v>
          </cell>
        </row>
        <row r="140">
          <cell r="C140">
            <v>8010024553</v>
          </cell>
          <cell r="D140" t="str">
            <v>活接头(胶粘连接)印尼(日标)PVC-U管件(AW给水系列)灰色 DN16 (1/2") 联塑</v>
          </cell>
          <cell r="E140" t="str">
            <v>JIS PVC-U Union Socket (AW) DN16 (1/2") Grey - LESSO</v>
          </cell>
          <cell r="F140">
            <v>1</v>
          </cell>
          <cell r="G140">
            <v>16511</v>
          </cell>
          <cell r="H140">
            <v>14875</v>
          </cell>
          <cell r="I140">
            <v>0.12</v>
          </cell>
          <cell r="J140">
            <v>16904</v>
          </cell>
          <cell r="K140">
            <v>0.1</v>
          </cell>
          <cell r="L140">
            <v>16528</v>
          </cell>
        </row>
        <row r="141">
          <cell r="C141">
            <v>8010024813</v>
          </cell>
          <cell r="D141" t="str">
            <v>活接头(胶粘连接)印尼(日标)PVC-U管件(AW给水系列)灰色 DN20 (3/4") 联塑</v>
          </cell>
          <cell r="E141" t="str">
            <v>JIS PVC-U Union Socket (AW) DN20 (3/4") Grey - LESSO</v>
          </cell>
          <cell r="F141">
            <v>1</v>
          </cell>
          <cell r="G141">
            <v>20193</v>
          </cell>
          <cell r="H141">
            <v>18192</v>
          </cell>
          <cell r="I141">
            <v>0.12</v>
          </cell>
          <cell r="J141">
            <v>20673</v>
          </cell>
          <cell r="K141">
            <v>0.1</v>
          </cell>
          <cell r="L141">
            <v>20214</v>
          </cell>
        </row>
        <row r="142">
          <cell r="C142">
            <v>8010024419</v>
          </cell>
          <cell r="D142" t="str">
            <v>活接头(胶粘连接)印尼(日标)PVC-U管件(AW给水系列)灰色 DN25 (1") 联塑</v>
          </cell>
          <cell r="E142" t="str">
            <v>JIS PVC-U Union Socket (AW) DN25 (1") Grey - LESSO</v>
          </cell>
          <cell r="F142">
            <v>1</v>
          </cell>
          <cell r="G142">
            <v>27678</v>
          </cell>
          <cell r="H142">
            <v>24936</v>
          </cell>
          <cell r="I142">
            <v>0.12</v>
          </cell>
          <cell r="J142">
            <v>28337</v>
          </cell>
          <cell r="K142">
            <v>0.1</v>
          </cell>
          <cell r="L142">
            <v>27707</v>
          </cell>
        </row>
        <row r="143">
          <cell r="C143">
            <v>8010024450</v>
          </cell>
          <cell r="D143" t="str">
            <v>活接头(胶粘连接)印尼(日标)PVC-U管件(AW给水系列)灰色 DN35 (1-1/4") 联塑</v>
          </cell>
          <cell r="E143" t="str">
            <v>JIS PVC-U Union Socket (AW) DN35 (1-1/4") Grey - LESSO</v>
          </cell>
          <cell r="F143">
            <v>1</v>
          </cell>
          <cell r="G143">
            <v>46858</v>
          </cell>
          <cell r="H143">
            <v>42215</v>
          </cell>
          <cell r="I143">
            <v>0.12</v>
          </cell>
          <cell r="J143">
            <v>47972</v>
          </cell>
          <cell r="K143">
            <v>0.1</v>
          </cell>
          <cell r="L143">
            <v>46906</v>
          </cell>
        </row>
        <row r="144">
          <cell r="C144">
            <v>8010024420</v>
          </cell>
          <cell r="D144" t="str">
            <v>活接头(胶粘连接)印尼(日标)PVC-U管件(AW给水系列)灰色 DN40 (1-1/2") 联塑</v>
          </cell>
          <cell r="E144" t="str">
            <v>JIS PVC-U Union Socket (AW) DN40 (1-1/2") Grey - LESSO</v>
          </cell>
          <cell r="F144">
            <v>1</v>
          </cell>
          <cell r="G144">
            <v>63246</v>
          </cell>
          <cell r="H144">
            <v>56979</v>
          </cell>
          <cell r="I144">
            <v>0.12</v>
          </cell>
          <cell r="J144">
            <v>64749</v>
          </cell>
          <cell r="K144">
            <v>0.1</v>
          </cell>
          <cell r="L144">
            <v>63310</v>
          </cell>
        </row>
        <row r="145">
          <cell r="C145">
            <v>8010024554</v>
          </cell>
          <cell r="D145" t="str">
            <v>活接头(螺纹连接)印尼(日标)PVC-U管件(AW给水系列)灰色 DN16 (1/2") 联塑</v>
          </cell>
          <cell r="E145" t="str">
            <v>JIS PVC-U Union Threaded (AW) DN16 (1/2") Grey - LESSO</v>
          </cell>
          <cell r="F145">
            <v>1</v>
          </cell>
          <cell r="G145">
            <v>16511</v>
          </cell>
          <cell r="H145">
            <v>14875</v>
          </cell>
          <cell r="I145">
            <v>0.12</v>
          </cell>
          <cell r="J145">
            <v>16904</v>
          </cell>
          <cell r="K145">
            <v>0.1</v>
          </cell>
          <cell r="L145">
            <v>16528</v>
          </cell>
        </row>
        <row r="146">
          <cell r="C146">
            <v>8010024949</v>
          </cell>
          <cell r="D146" t="str">
            <v>活接头(螺纹连接)印尼(日标)PVC-U管件(AW给水系列)灰色 DN20 (3/4") 联塑</v>
          </cell>
          <cell r="E146" t="str">
            <v>JIS PVC-U Union Threaded (AW) DN20 (3/4") Grey - LESSO</v>
          </cell>
          <cell r="F146">
            <v>1</v>
          </cell>
          <cell r="G146">
            <v>20193</v>
          </cell>
          <cell r="H146">
            <v>18192</v>
          </cell>
          <cell r="I146">
            <v>0.12</v>
          </cell>
          <cell r="J146">
            <v>20673</v>
          </cell>
          <cell r="K146">
            <v>0.1</v>
          </cell>
          <cell r="L146">
            <v>20214</v>
          </cell>
        </row>
        <row r="147">
          <cell r="C147">
            <v>8010024814</v>
          </cell>
          <cell r="D147" t="str">
            <v>活接头(螺纹连接)印尼(日标)PVC-U管件(AW给水系列)灰色 DN25 (1") 联塑</v>
          </cell>
          <cell r="E147" t="str">
            <v>JIS PVC-U Union Threaded (AW) DN25 (1") Grey - LESSO</v>
          </cell>
          <cell r="F147">
            <v>1</v>
          </cell>
          <cell r="G147">
            <v>27678</v>
          </cell>
          <cell r="H147">
            <v>24936</v>
          </cell>
          <cell r="I147">
            <v>0.12</v>
          </cell>
          <cell r="J147">
            <v>28337</v>
          </cell>
          <cell r="K147">
            <v>0.1</v>
          </cell>
          <cell r="L147">
            <v>27707</v>
          </cell>
        </row>
        <row r="148">
          <cell r="C148">
            <v>8010024451</v>
          </cell>
          <cell r="D148" t="str">
            <v>活接头(螺纹连接)印尼(日标)PVC-U管件(AW给水系列)灰色 DN35 (1-1/4") 联塑</v>
          </cell>
          <cell r="E148" t="str">
            <v>JIS PVC-U Union Threaded (AW) DN35 (1-1/4") Grey - LESSO</v>
          </cell>
          <cell r="F148">
            <v>1</v>
          </cell>
          <cell r="G148">
            <v>46858</v>
          </cell>
          <cell r="H148">
            <v>42215</v>
          </cell>
          <cell r="I148">
            <v>0.12</v>
          </cell>
          <cell r="J148">
            <v>47972</v>
          </cell>
          <cell r="K148">
            <v>0.1</v>
          </cell>
          <cell r="L148">
            <v>46906</v>
          </cell>
        </row>
        <row r="149">
          <cell r="C149">
            <v>8010024452</v>
          </cell>
          <cell r="D149" t="str">
            <v>活接头(螺纹连接)印尼(日标)PVC-U管件(AW给水系列)灰色 DN40 (1-1/2") 联塑</v>
          </cell>
          <cell r="E149" t="str">
            <v>JIS PVC-U Union Threaded (AW) DN40 (1-1/2") Grey - LESSO</v>
          </cell>
          <cell r="F149">
            <v>1</v>
          </cell>
          <cell r="G149">
            <v>63246</v>
          </cell>
          <cell r="H149">
            <v>56979</v>
          </cell>
          <cell r="I149">
            <v>0.12</v>
          </cell>
          <cell r="J149">
            <v>64749</v>
          </cell>
          <cell r="K149">
            <v>0.1</v>
          </cell>
          <cell r="L149">
            <v>63310</v>
          </cell>
        </row>
        <row r="150">
          <cell r="C150">
            <v>8010024809</v>
          </cell>
          <cell r="D150" t="str">
            <v>外螺纹堵头印尼(日标)PVC-U管件(AW给水系列)灰色 DN16 (1/2") 联塑</v>
          </cell>
          <cell r="E150" t="str">
            <v>JIS PVC-U Plug (AW) DN16 (1/2") Grey - LESSO</v>
          </cell>
          <cell r="F150">
            <v>1</v>
          </cell>
          <cell r="G150">
            <v>831</v>
          </cell>
          <cell r="H150">
            <v>749</v>
          </cell>
          <cell r="I150">
            <v>0.12</v>
          </cell>
          <cell r="J150">
            <v>852</v>
          </cell>
          <cell r="K150">
            <v>0.1</v>
          </cell>
          <cell r="L150">
            <v>833</v>
          </cell>
        </row>
        <row r="151">
          <cell r="C151">
            <v>8010024877</v>
          </cell>
          <cell r="D151" t="str">
            <v>外螺纹堵头印尼(日标)PVC-U管件(AW给水系列)灰色 DN20 (3/4") 联塑</v>
          </cell>
          <cell r="E151" t="str">
            <v>JIS PVC-U Plug (AW) DN20 (3/4") Grey - LESSO</v>
          </cell>
          <cell r="F151">
            <v>1</v>
          </cell>
          <cell r="G151">
            <v>1010</v>
          </cell>
          <cell r="H151">
            <v>910</v>
          </cell>
          <cell r="I151">
            <v>0.12</v>
          </cell>
          <cell r="J151">
            <v>1035</v>
          </cell>
          <cell r="K151">
            <v>0.1</v>
          </cell>
          <cell r="L151">
            <v>1012</v>
          </cell>
        </row>
        <row r="152">
          <cell r="C152">
            <v>8010024878</v>
          </cell>
          <cell r="D152" t="str">
            <v>外螺纹堵头印尼(日标)PVC-U管件(AW给水系列)灰色 DN25 (1") 联塑</v>
          </cell>
          <cell r="E152" t="str">
            <v>JIS PVC-U Plug (AW) DN25 (1") Grey - LESSO</v>
          </cell>
          <cell r="F152">
            <v>1</v>
          </cell>
          <cell r="G152">
            <v>1128</v>
          </cell>
          <cell r="H152">
            <v>1017</v>
          </cell>
          <cell r="I152">
            <v>0.12</v>
          </cell>
          <cell r="J152">
            <v>1156</v>
          </cell>
          <cell r="K152">
            <v>0.1</v>
          </cell>
          <cell r="L152">
            <v>1130</v>
          </cell>
        </row>
        <row r="153">
          <cell r="C153">
            <v>8010024409</v>
          </cell>
          <cell r="D153" t="str">
            <v>双头外螺纹直接头印尼(日标)PVC-U管件(AW给水系列)灰色 DN16 (1/2") 联塑</v>
          </cell>
          <cell r="E153" t="str">
            <v>JIS PVC-U Double Nipple (AW) DN16 (1/2") Grey - LESSO</v>
          </cell>
          <cell r="F153">
            <v>1</v>
          </cell>
          <cell r="G153">
            <v>831</v>
          </cell>
          <cell r="H153">
            <v>749</v>
          </cell>
          <cell r="I153">
            <v>0.12</v>
          </cell>
          <cell r="J153">
            <v>852</v>
          </cell>
          <cell r="K153">
            <v>0.1</v>
          </cell>
          <cell r="L153">
            <v>833</v>
          </cell>
        </row>
        <row r="154">
          <cell r="C154">
            <v>8010024410</v>
          </cell>
          <cell r="D154" t="str">
            <v>双头外螺纹直接头印尼(日标)PVC-U管件(AW给水系列)灰色 DN20 (3/4") 联塑</v>
          </cell>
          <cell r="E154" t="str">
            <v>JIS PVC-U Double Nipple (AW) DN20 (3/4") Grey - LESSO</v>
          </cell>
          <cell r="F154">
            <v>1</v>
          </cell>
          <cell r="G154">
            <v>1010</v>
          </cell>
          <cell r="H154">
            <v>910</v>
          </cell>
          <cell r="I154">
            <v>0.12</v>
          </cell>
          <cell r="J154">
            <v>1035</v>
          </cell>
          <cell r="K154">
            <v>0.1</v>
          </cell>
          <cell r="L154">
            <v>1012</v>
          </cell>
        </row>
        <row r="155">
          <cell r="C155">
            <v>8010024441</v>
          </cell>
          <cell r="D155" t="str">
            <v>双头外螺纹直接头印尼(日标)PVC-U管件(AW给水系列)灰色 DN25 (1") 联塑</v>
          </cell>
          <cell r="E155" t="str">
            <v>JIS PVC-U Double Nipple (AW) DN25 (1") Grey - LESSO</v>
          </cell>
          <cell r="F155">
            <v>1</v>
          </cell>
          <cell r="G155">
            <v>1663</v>
          </cell>
          <cell r="H155">
            <v>1499</v>
          </cell>
          <cell r="I155">
            <v>0.12</v>
          </cell>
          <cell r="J155">
            <v>1704</v>
          </cell>
          <cell r="K155">
            <v>0.1</v>
          </cell>
          <cell r="L155">
            <v>1666</v>
          </cell>
        </row>
        <row r="156">
          <cell r="C156">
            <v>8010024405</v>
          </cell>
          <cell r="D156" t="str">
            <v>管帽印尼(日标)PVC-U管件(AW给水系列) DN16 (1/2") 联塑</v>
          </cell>
          <cell r="E156" t="str">
            <v>JIS PVC-U Cap (AW) DN16 (1/2") Grey - LESSO</v>
          </cell>
          <cell r="F156">
            <v>1</v>
          </cell>
          <cell r="G156">
            <v>891</v>
          </cell>
          <cell r="H156">
            <v>803</v>
          </cell>
          <cell r="I156">
            <v>0.12</v>
          </cell>
          <cell r="J156">
            <v>913</v>
          </cell>
          <cell r="K156">
            <v>0.1</v>
          </cell>
          <cell r="L156">
            <v>893</v>
          </cell>
        </row>
        <row r="157">
          <cell r="C157">
            <v>8010024406</v>
          </cell>
          <cell r="D157" t="str">
            <v>管帽印尼(日标)PVC-U管件(AW给水系列)灰色 DN20 (3/4") 联塑</v>
          </cell>
          <cell r="E157" t="str">
            <v>JIS PVC-U Cap (AW) DN20 (3/4") Grey - LESSO</v>
          </cell>
          <cell r="F157">
            <v>1</v>
          </cell>
          <cell r="G157">
            <v>1010</v>
          </cell>
          <cell r="H157">
            <v>910</v>
          </cell>
          <cell r="I157">
            <v>0.12</v>
          </cell>
          <cell r="J157">
            <v>1035</v>
          </cell>
          <cell r="K157">
            <v>0.1</v>
          </cell>
          <cell r="L157">
            <v>1012</v>
          </cell>
        </row>
        <row r="158">
          <cell r="C158">
            <v>8010024547</v>
          </cell>
          <cell r="D158" t="str">
            <v>管帽印尼(日标)PVC-U管件(AW给水系列)灰色 DN25 (1") 联塑</v>
          </cell>
          <cell r="E158" t="str">
            <v>JIS PVC-U Cap (AW) DN25 (1") Grey - LESSO</v>
          </cell>
          <cell r="F158">
            <v>1</v>
          </cell>
          <cell r="G158">
            <v>1545</v>
          </cell>
          <cell r="H158">
            <v>1392</v>
          </cell>
          <cell r="I158">
            <v>0.12</v>
          </cell>
          <cell r="J158">
            <v>1582</v>
          </cell>
          <cell r="K158">
            <v>0.1</v>
          </cell>
          <cell r="L158">
            <v>1547</v>
          </cell>
        </row>
        <row r="159">
          <cell r="C159">
            <v>8010024407</v>
          </cell>
          <cell r="D159" t="str">
            <v>管帽印尼(日标)PVC-U管件(AW给水系列)灰色 DN50 (2") 联塑</v>
          </cell>
          <cell r="E159" t="str">
            <v>JIS PVC-U Cap (AW) DN50 (2") Grey - LESSO</v>
          </cell>
          <cell r="F159">
            <v>1</v>
          </cell>
          <cell r="G159">
            <v>4860</v>
          </cell>
          <cell r="H159">
            <v>4379</v>
          </cell>
          <cell r="I159">
            <v>0.12</v>
          </cell>
          <cell r="J159">
            <v>4977</v>
          </cell>
          <cell r="K159">
            <v>0.1</v>
          </cell>
          <cell r="L159">
            <v>4866</v>
          </cell>
        </row>
        <row r="160">
          <cell r="C160">
            <v>8010024439</v>
          </cell>
          <cell r="D160" t="str">
            <v>管帽印尼(日标)PVC-U管件(AW给水系列)灰色 DN75 (3") 联塑</v>
          </cell>
          <cell r="E160" t="str">
            <v>JIS PVC-U Cap (AW) DN75 (3") Grey - LESSO</v>
          </cell>
          <cell r="F160">
            <v>1</v>
          </cell>
          <cell r="G160">
            <v>15001</v>
          </cell>
          <cell r="H160">
            <v>13515</v>
          </cell>
          <cell r="I160">
            <v>0.12</v>
          </cell>
          <cell r="J160">
            <v>15358</v>
          </cell>
          <cell r="K160">
            <v>0.1</v>
          </cell>
          <cell r="L160">
            <v>15017</v>
          </cell>
        </row>
        <row r="161">
          <cell r="C161">
            <v>8010024663</v>
          </cell>
          <cell r="D161" t="str">
            <v>管帽印尼(日标)PVC-U管件(AW给水系列)灰色 DN100 (4") 联塑</v>
          </cell>
          <cell r="E161" t="str">
            <v>JIS PVC-U Cap (AW) DN100 (4") Grey - LESSO</v>
          </cell>
          <cell r="F161">
            <v>1</v>
          </cell>
          <cell r="G161">
            <v>31062</v>
          </cell>
          <cell r="H161">
            <v>27984</v>
          </cell>
          <cell r="I161">
            <v>0.12</v>
          </cell>
          <cell r="J161">
            <v>31800</v>
          </cell>
          <cell r="K161">
            <v>0.1</v>
          </cell>
          <cell r="L161">
            <v>31094</v>
          </cell>
        </row>
        <row r="162">
          <cell r="C162">
            <v>80516340</v>
          </cell>
          <cell r="D162" t="str">
            <v>管帽印尼(日标) PVC-U管件(AW给水系列) DN150 (6") - RUCIKA</v>
          </cell>
          <cell r="E162" t="str">
            <v>JIS PVC-U Cap (AW) DN150 (6") - RUCIKA</v>
          </cell>
          <cell r="F162">
            <v>1</v>
          </cell>
          <cell r="G162">
            <v>0</v>
          </cell>
          <cell r="H162">
            <v>0</v>
          </cell>
          <cell r="I162">
            <v>0.15</v>
          </cell>
          <cell r="J162">
            <v>0</v>
          </cell>
          <cell r="K162">
            <v>0.15</v>
          </cell>
          <cell r="L162">
            <v>0</v>
          </cell>
        </row>
        <row r="163">
          <cell r="C163">
            <v>80516341</v>
          </cell>
          <cell r="D163" t="str">
            <v>管帽印尼(日标) PVC-U管件(AW给水系列) DN200 (8") - RUCIKA</v>
          </cell>
          <cell r="E163" t="str">
            <v>JIS PVC-U Cap (AW) DN200 (8") - RUCIKA</v>
          </cell>
          <cell r="F163">
            <v>1</v>
          </cell>
          <cell r="G163">
            <v>0</v>
          </cell>
          <cell r="H163">
            <v>0</v>
          </cell>
          <cell r="I163">
            <v>0.15</v>
          </cell>
          <cell r="J163">
            <v>0</v>
          </cell>
          <cell r="K163">
            <v>0.15</v>
          </cell>
          <cell r="L163">
            <v>0</v>
          </cell>
        </row>
        <row r="164">
          <cell r="C164">
            <v>8010024802</v>
          </cell>
          <cell r="D164" t="str">
            <v>法兰印尼(日标)PVC-U管件(AW给水系列)灰色 DN50 (2") 联塑</v>
          </cell>
          <cell r="E164" t="str">
            <v>JIS PVC-U Flange PVC (AW) DN50 (2") Grey - LESSO</v>
          </cell>
          <cell r="F164">
            <v>1</v>
          </cell>
          <cell r="G164">
            <v>20102</v>
          </cell>
          <cell r="H164">
            <v>18110</v>
          </cell>
          <cell r="I164">
            <v>0.12</v>
          </cell>
          <cell r="J164">
            <v>20580</v>
          </cell>
          <cell r="K164">
            <v>0.1</v>
          </cell>
          <cell r="L164">
            <v>20123</v>
          </cell>
        </row>
        <row r="165">
          <cell r="C165">
            <v>8010024803</v>
          </cell>
          <cell r="D165" t="str">
            <v>法兰印尼(日标)PVC-U管件(AW给水系列)灰色 DN75 (3") 联塑</v>
          </cell>
          <cell r="E165" t="str">
            <v>JIS PVC-U Flange PVC (AW) DN75 (3") Grey - LESSO</v>
          </cell>
          <cell r="F165">
            <v>1</v>
          </cell>
          <cell r="G165">
            <v>31083</v>
          </cell>
          <cell r="H165">
            <v>28003</v>
          </cell>
          <cell r="I165">
            <v>0.12</v>
          </cell>
          <cell r="J165">
            <v>31822</v>
          </cell>
          <cell r="K165">
            <v>0.1</v>
          </cell>
          <cell r="L165">
            <v>31115</v>
          </cell>
        </row>
        <row r="166">
          <cell r="C166">
            <v>8010024804</v>
          </cell>
          <cell r="D166" t="str">
            <v>法兰印尼(日标)PVC-U管件(AW给水系列)灰色 DN100 (4") 联塑</v>
          </cell>
          <cell r="E166" t="str">
            <v>JIS PVC-U Flange PVC (AW) DN100 (4") Grey - LESSO</v>
          </cell>
          <cell r="F166">
            <v>1</v>
          </cell>
          <cell r="G166">
            <v>50781</v>
          </cell>
          <cell r="H166">
            <v>45749</v>
          </cell>
          <cell r="I166">
            <v>0.12</v>
          </cell>
          <cell r="J166">
            <v>51988</v>
          </cell>
          <cell r="K166">
            <v>0.1</v>
          </cell>
          <cell r="L166">
            <v>50833</v>
          </cell>
        </row>
        <row r="167">
          <cell r="C167">
            <v>8010024805</v>
          </cell>
          <cell r="D167" t="str">
            <v>法兰印尼(日标)PVC-U管件(AW给水系列)灰色 DN150 (6") 联塑</v>
          </cell>
          <cell r="E167" t="str">
            <v>JIS PVC-U Flange PVC (AW) DN150 (6") Grey - LESSO</v>
          </cell>
          <cell r="F167">
            <v>1</v>
          </cell>
          <cell r="G167">
            <v>115817</v>
          </cell>
          <cell r="H167">
            <v>104340</v>
          </cell>
          <cell r="I167">
            <v>0.12</v>
          </cell>
          <cell r="J167">
            <v>118569</v>
          </cell>
          <cell r="K167">
            <v>0.1</v>
          </cell>
          <cell r="L167">
            <v>115934</v>
          </cell>
        </row>
        <row r="168">
          <cell r="C168">
            <v>80516355</v>
          </cell>
          <cell r="D168" t="str">
            <v>法兰印尼(日标) PVC-U管件(AW给水系列) DN65 (2-1/2") - RUCIKA</v>
          </cell>
          <cell r="E168" t="str">
            <v>JIS PVC-U Flange (AW) DN65 (2-1/2") - RUCIKA</v>
          </cell>
          <cell r="F168">
            <v>1</v>
          </cell>
          <cell r="G168">
            <v>0</v>
          </cell>
          <cell r="H168">
            <v>0</v>
          </cell>
          <cell r="I168">
            <v>0.15</v>
          </cell>
          <cell r="J168">
            <v>0</v>
          </cell>
          <cell r="K168">
            <v>0.15</v>
          </cell>
          <cell r="L168">
            <v>0</v>
          </cell>
        </row>
        <row r="169">
          <cell r="C169">
            <v>8010024193</v>
          </cell>
          <cell r="D169" t="str">
            <v>异径套印尼(日标)PVC-U管件(AW给水系列)灰色 DN20x16 (3/4"x1/2") 联塑</v>
          </cell>
          <cell r="E169" t="str">
            <v>JIS PVC-U Reducing Socket (AW) DN20x16 (3/4"x1/2") Grey - LESSO</v>
          </cell>
          <cell r="F169">
            <v>1</v>
          </cell>
          <cell r="G169">
            <v>1604</v>
          </cell>
          <cell r="H169">
            <v>1446</v>
          </cell>
          <cell r="I169">
            <v>0.12</v>
          </cell>
          <cell r="J169">
            <v>1644</v>
          </cell>
          <cell r="K169">
            <v>0.1</v>
          </cell>
          <cell r="L169">
            <v>1607</v>
          </cell>
        </row>
        <row r="170">
          <cell r="C170">
            <v>8010024416</v>
          </cell>
          <cell r="D170" t="str">
            <v>异径套印尼(日标)PVC-U管件(AW给水系列)灰色 DN25x16 (1"x1/2") 联塑</v>
          </cell>
          <cell r="E170" t="str">
            <v>JIS PVC-U Reducing Socket (AW) DN25x16 (1"x1/2") Grey - LESSO</v>
          </cell>
          <cell r="F170">
            <v>1</v>
          </cell>
          <cell r="G170">
            <v>1663</v>
          </cell>
          <cell r="H170">
            <v>1499</v>
          </cell>
          <cell r="I170">
            <v>0.12</v>
          </cell>
          <cell r="J170">
            <v>1704</v>
          </cell>
          <cell r="K170">
            <v>0.1</v>
          </cell>
          <cell r="L170">
            <v>1666</v>
          </cell>
        </row>
        <row r="171">
          <cell r="C171">
            <v>8010024194</v>
          </cell>
          <cell r="D171" t="str">
            <v>异径套印尼(日标)PVC-U管件(AW给水系列)灰色 DN25x20 (1"x3/4") 联塑</v>
          </cell>
          <cell r="E171" t="str">
            <v>JIS PVC-U Reducing Socket (AW) DN25x20 (1"x3/4") Grey - LESSO</v>
          </cell>
          <cell r="F171">
            <v>1</v>
          </cell>
          <cell r="G171">
            <v>2138</v>
          </cell>
          <cell r="H171">
            <v>1927</v>
          </cell>
          <cell r="I171">
            <v>0.12</v>
          </cell>
          <cell r="J171">
            <v>2190</v>
          </cell>
          <cell r="K171">
            <v>0.1</v>
          </cell>
          <cell r="L171">
            <v>2142</v>
          </cell>
        </row>
        <row r="172">
          <cell r="C172">
            <v>8010024379</v>
          </cell>
          <cell r="D172" t="str">
            <v>异径套印尼(日标)PVC-U管件(AW给水系列)灰色 DN35x16 (1-1/4"x1/2") 联塑</v>
          </cell>
          <cell r="E172" t="str">
            <v>JIS PVC-U Reducing Socket (AW) DN35x16 (1-1/4"x1/2") Grey - LESSO</v>
          </cell>
          <cell r="F172">
            <v>1</v>
          </cell>
          <cell r="G172">
            <v>2364</v>
          </cell>
          <cell r="H172">
            <v>2130</v>
          </cell>
          <cell r="I172">
            <v>0.12</v>
          </cell>
          <cell r="J172">
            <v>2421</v>
          </cell>
          <cell r="K172">
            <v>0.1</v>
          </cell>
          <cell r="L172">
            <v>2367</v>
          </cell>
        </row>
        <row r="173">
          <cell r="C173">
            <v>8010024326</v>
          </cell>
          <cell r="D173" t="str">
            <v>异径套印尼(日标)PVC-U管件(AW给水系列)灰色 DN35x20 (1-1/4"x3/4") 联塑</v>
          </cell>
          <cell r="E173" t="str">
            <v>JIS PVC-U Reducing Socket (AW) DN35x20 (1-1/4"x3/4") Grey - LESSO</v>
          </cell>
          <cell r="F173">
            <v>1</v>
          </cell>
          <cell r="G173">
            <v>2788</v>
          </cell>
          <cell r="H173">
            <v>2512</v>
          </cell>
          <cell r="I173">
            <v>0.12</v>
          </cell>
          <cell r="J173">
            <v>2855</v>
          </cell>
          <cell r="K173">
            <v>0.1</v>
          </cell>
          <cell r="L173">
            <v>2792</v>
          </cell>
        </row>
        <row r="174">
          <cell r="C174">
            <v>8010024195</v>
          </cell>
          <cell r="D174" t="str">
            <v>异径套印尼(日标)PVC-U管件(AW给水系列)灰色 DN35x25 (1-1/4"x1") 联塑</v>
          </cell>
          <cell r="E174" t="str">
            <v>JIS PVC-U Reducing Socket (AW) DN35x25 (1-1/4"x1") Grey - LESSO</v>
          </cell>
          <cell r="F174">
            <v>1</v>
          </cell>
          <cell r="G174">
            <v>3213</v>
          </cell>
          <cell r="H174">
            <v>2895</v>
          </cell>
          <cell r="I174">
            <v>0.12</v>
          </cell>
          <cell r="J174">
            <v>3290</v>
          </cell>
          <cell r="K174">
            <v>0.1</v>
          </cell>
          <cell r="L174">
            <v>3217</v>
          </cell>
        </row>
        <row r="175">
          <cell r="C175">
            <v>8010024325</v>
          </cell>
          <cell r="D175" t="str">
            <v>异径套印尼(日标)PVC-U管件(AW给水系列)灰色 DN40x16 (1-1/2"x1/2") 联塑</v>
          </cell>
          <cell r="E175" t="str">
            <v>JIS PVC-U Reducing Socket (AW) DN40x16 (1-1/2"x1/2") Grey - LESSO</v>
          </cell>
          <cell r="F175">
            <v>1</v>
          </cell>
          <cell r="G175">
            <v>3420</v>
          </cell>
          <cell r="H175">
            <v>3082</v>
          </cell>
          <cell r="I175">
            <v>0.12</v>
          </cell>
          <cell r="J175">
            <v>3503</v>
          </cell>
          <cell r="K175">
            <v>0.1</v>
          </cell>
          <cell r="L175">
            <v>3425</v>
          </cell>
        </row>
        <row r="176">
          <cell r="C176">
            <v>8010024196</v>
          </cell>
          <cell r="D176" t="str">
            <v>异径套印尼(日标)PVC-U管件(AW给水系列)灰色 DN40x20 (1-1/2"x3/4") 联塑</v>
          </cell>
          <cell r="E176" t="str">
            <v>JIS PVC-U Reducing Socket (AW) DN40x20 (1-1/2"x3/4") Grey - LESSO</v>
          </cell>
          <cell r="F176">
            <v>1</v>
          </cell>
          <cell r="G176">
            <v>3600</v>
          </cell>
          <cell r="H176">
            <v>3244</v>
          </cell>
          <cell r="I176">
            <v>0.12</v>
          </cell>
          <cell r="J176">
            <v>3687</v>
          </cell>
          <cell r="K176">
            <v>0.1</v>
          </cell>
          <cell r="L176">
            <v>3605</v>
          </cell>
        </row>
        <row r="177">
          <cell r="C177">
            <v>8010024380</v>
          </cell>
          <cell r="D177" t="str">
            <v>异径套印尼(日标)PVC-U管件(AW给水系列)灰色 DN40x25 (1-1/2"x1") 联塑</v>
          </cell>
          <cell r="E177" t="str">
            <v>JIS PVC-U Reducing Socket (AW) DN40x25 (1-1/2"x1") Grey - LESSO</v>
          </cell>
          <cell r="F177">
            <v>1</v>
          </cell>
          <cell r="G177">
            <v>4380</v>
          </cell>
          <cell r="H177">
            <v>3946</v>
          </cell>
          <cell r="I177">
            <v>0.12</v>
          </cell>
          <cell r="J177">
            <v>4485</v>
          </cell>
          <cell r="K177">
            <v>0.1</v>
          </cell>
          <cell r="L177">
            <v>4385</v>
          </cell>
        </row>
        <row r="178">
          <cell r="C178">
            <v>8010024381</v>
          </cell>
          <cell r="D178" t="str">
            <v>异径套印尼(日标)PVC-U管件(AW给水系列)灰色 DN40x35 (1-1/2"x1-1/4") 联塑</v>
          </cell>
          <cell r="E178" t="str">
            <v>JIS PVC-U Reducing Socket (AW) DN40x35 (1-1/2"x1-1/4") Grey - LESSO</v>
          </cell>
          <cell r="F178">
            <v>1</v>
          </cell>
          <cell r="G178">
            <v>4971</v>
          </cell>
          <cell r="H178">
            <v>4479</v>
          </cell>
          <cell r="I178">
            <v>0.12</v>
          </cell>
          <cell r="J178">
            <v>5090</v>
          </cell>
          <cell r="K178">
            <v>0.1</v>
          </cell>
          <cell r="L178">
            <v>4977</v>
          </cell>
        </row>
        <row r="179">
          <cell r="C179">
            <v>8010024417</v>
          </cell>
          <cell r="D179" t="str">
            <v>异径套印尼(日标)PVC-U管件(AW给水系列)灰色 DN50x16 (2"x1/2") 联塑</v>
          </cell>
          <cell r="E179" t="str">
            <v>JIS PVC-U Reducing Socket (AW) DN50x16 (2"x1/2") Grey - LESSO</v>
          </cell>
          <cell r="F179">
            <v>1</v>
          </cell>
          <cell r="G179">
            <v>5048</v>
          </cell>
          <cell r="H179">
            <v>4548</v>
          </cell>
          <cell r="I179">
            <v>0.12</v>
          </cell>
          <cell r="J179">
            <v>5169</v>
          </cell>
          <cell r="K179">
            <v>0.1</v>
          </cell>
          <cell r="L179">
            <v>5054</v>
          </cell>
        </row>
        <row r="180">
          <cell r="C180">
            <v>8010024445</v>
          </cell>
          <cell r="D180" t="str">
            <v>异径套印尼(日标)PVC-U管件(AW给水系列)灰色 DN50x20 (2"x3/4") 联塑</v>
          </cell>
          <cell r="E180" t="str">
            <v>JIS PVC-U Reducing Socket (AW) DN50x20 (2"x3/4") Grey - LESSO</v>
          </cell>
          <cell r="F180">
            <v>1</v>
          </cell>
          <cell r="G180">
            <v>5405</v>
          </cell>
          <cell r="H180">
            <v>4870</v>
          </cell>
          <cell r="I180">
            <v>0.12</v>
          </cell>
          <cell r="J180">
            <v>5535</v>
          </cell>
          <cell r="K180">
            <v>0.1</v>
          </cell>
          <cell r="L180">
            <v>5412</v>
          </cell>
        </row>
        <row r="181">
          <cell r="C181">
            <v>8010024661</v>
          </cell>
          <cell r="D181" t="str">
            <v>异径套印尼(日标)PVC-U管件(AW给水系列)灰色 DN50x25 (2"x1") 联塑</v>
          </cell>
          <cell r="E181" t="str">
            <v>JIS PVC-U Reducing Socket (AW) DN50x25 (2"x1") Grey - LESSO</v>
          </cell>
          <cell r="F181">
            <v>1</v>
          </cell>
          <cell r="G181">
            <v>5940</v>
          </cell>
          <cell r="H181">
            <v>5352</v>
          </cell>
          <cell r="I181">
            <v>0.12</v>
          </cell>
          <cell r="J181">
            <v>6082</v>
          </cell>
          <cell r="K181">
            <v>0.1</v>
          </cell>
          <cell r="L181">
            <v>5947</v>
          </cell>
        </row>
        <row r="182">
          <cell r="C182">
            <v>8010024662</v>
          </cell>
          <cell r="D182" t="str">
            <v>异径套印尼(日标)PVC-U管件(AW给水系列)灰色 DN50x35 (2"x1-1/4") 联塑</v>
          </cell>
          <cell r="E182" t="str">
            <v>JIS PVC-U Reducing Socket (AW) DN50x35 (2"x1-1/4") Grey - LESSO</v>
          </cell>
          <cell r="F182">
            <v>1</v>
          </cell>
          <cell r="G182">
            <v>7031</v>
          </cell>
          <cell r="H182">
            <v>6335</v>
          </cell>
          <cell r="I182">
            <v>0.12</v>
          </cell>
          <cell r="J182">
            <v>7199</v>
          </cell>
          <cell r="K182">
            <v>0.1</v>
          </cell>
          <cell r="L182">
            <v>7039</v>
          </cell>
        </row>
        <row r="183">
          <cell r="C183">
            <v>8010024446</v>
          </cell>
          <cell r="D183" t="str">
            <v>异径套印尼(日标)PVC-U管件(AW给水系列)灰色 DN50x40 (2"x1-1/2") 联塑</v>
          </cell>
          <cell r="E183" t="str">
            <v>JIS PVC-U Reducing Socket (AW) DN50x40 (2"x1-1/2") Grey - LESSO</v>
          </cell>
          <cell r="F183">
            <v>1</v>
          </cell>
          <cell r="G183">
            <v>7441</v>
          </cell>
          <cell r="H183">
            <v>6704</v>
          </cell>
          <cell r="I183">
            <v>0.12</v>
          </cell>
          <cell r="J183">
            <v>7619</v>
          </cell>
          <cell r="K183">
            <v>0.1</v>
          </cell>
          <cell r="L183">
            <v>7449</v>
          </cell>
        </row>
        <row r="184">
          <cell r="C184">
            <v>8010024382</v>
          </cell>
          <cell r="D184" t="str">
            <v>异径套印尼(日标)PVC-U管件(AW给水系列)灰色 DN75x50 (3"x2") 联塑</v>
          </cell>
          <cell r="E184" t="str">
            <v>JIS PVC-U Reducing Socket (AW) DN75x50 (3"x2") Grey - LESSO</v>
          </cell>
          <cell r="F184">
            <v>1</v>
          </cell>
          <cell r="G184">
            <v>12961</v>
          </cell>
          <cell r="H184">
            <v>11677</v>
          </cell>
          <cell r="I184">
            <v>0.12</v>
          </cell>
          <cell r="J184">
            <v>13270</v>
          </cell>
          <cell r="K184">
            <v>0.1</v>
          </cell>
          <cell r="L184">
            <v>12975</v>
          </cell>
        </row>
        <row r="185">
          <cell r="C185">
            <v>8010024811</v>
          </cell>
          <cell r="D185" t="str">
            <v>异径套印尼(日标)PVC-U管件(AW给水系列)灰色 DN100x40 (4"x1-1/2") 联塑</v>
          </cell>
          <cell r="E185" t="str">
            <v>JIS PVC-U Reducing Socket (AW) DN100x40 (4"x1-1/2") Grey - LESSO</v>
          </cell>
          <cell r="F185">
            <v>1</v>
          </cell>
          <cell r="G185">
            <v>31683</v>
          </cell>
          <cell r="H185">
            <v>28544</v>
          </cell>
          <cell r="I185">
            <v>0.12</v>
          </cell>
          <cell r="J185">
            <v>32437</v>
          </cell>
          <cell r="K185">
            <v>0.1</v>
          </cell>
          <cell r="L185">
            <v>31716</v>
          </cell>
        </row>
        <row r="186">
          <cell r="C186">
            <v>8010024383</v>
          </cell>
          <cell r="D186" t="str">
            <v>异径套印尼(日标)PVC-U管件(AW给水系列)灰色 DN100x50 (4"x2") 联塑</v>
          </cell>
          <cell r="E186" t="str">
            <v>JIS PVC-U Reducing Socket (AW) DN100x50 (4"x2") Grey - LESSO</v>
          </cell>
          <cell r="F186">
            <v>1</v>
          </cell>
          <cell r="G186">
            <v>34443</v>
          </cell>
          <cell r="H186">
            <v>31030</v>
          </cell>
          <cell r="I186">
            <v>0.12</v>
          </cell>
          <cell r="J186">
            <v>35262</v>
          </cell>
          <cell r="K186">
            <v>0.1</v>
          </cell>
          <cell r="L186">
            <v>34478</v>
          </cell>
        </row>
        <row r="187">
          <cell r="C187">
            <v>8010024384</v>
          </cell>
          <cell r="D187" t="str">
            <v>异径套印尼(日标)PVC-U管件(AW给水系列)灰色 DN100x75 (4"x3") 联塑</v>
          </cell>
          <cell r="E187" t="str">
            <v>JIS PVC-U Reducing Socket (AW) DN100x75 (4"x3") Grey - LESSO</v>
          </cell>
          <cell r="F187">
            <v>1</v>
          </cell>
          <cell r="G187">
            <v>36784</v>
          </cell>
          <cell r="H187">
            <v>33139</v>
          </cell>
          <cell r="I187">
            <v>0.12</v>
          </cell>
          <cell r="J187">
            <v>37658</v>
          </cell>
          <cell r="K187">
            <v>0.1</v>
          </cell>
          <cell r="L187">
            <v>36822</v>
          </cell>
        </row>
        <row r="188">
          <cell r="C188">
            <v>8010024447</v>
          </cell>
          <cell r="D188" t="str">
            <v>异径套印尼(日标)PVC-U管件(AW给水系列)灰色 DN150x100 (6"x4") 联塑</v>
          </cell>
          <cell r="E188" t="str">
            <v>JIS PVC-U Reducing Socket (AW) DN150x100 (6"x4") Grey - LESSO</v>
          </cell>
          <cell r="F188">
            <v>1</v>
          </cell>
          <cell r="G188">
            <v>68887</v>
          </cell>
          <cell r="H188">
            <v>62061</v>
          </cell>
          <cell r="I188">
            <v>0.12</v>
          </cell>
          <cell r="J188">
            <v>70524</v>
          </cell>
          <cell r="K188">
            <v>0.1</v>
          </cell>
          <cell r="L188">
            <v>68957</v>
          </cell>
        </row>
        <row r="189">
          <cell r="C189">
            <v>8010024385</v>
          </cell>
          <cell r="D189" t="str">
            <v>异径套印尼(日标)PVC-U管件(AW给水系列)灰色 DN150x75 (6"x3") 联塑</v>
          </cell>
          <cell r="E189" t="str">
            <v>JIS PVC-U Reducing Socket (AW) DN150x75 (6"x3") Grey - LESSO</v>
          </cell>
          <cell r="F189">
            <v>1</v>
          </cell>
          <cell r="G189">
            <v>63186</v>
          </cell>
          <cell r="H189">
            <v>56925</v>
          </cell>
          <cell r="I189">
            <v>0.12</v>
          </cell>
          <cell r="J189">
            <v>64688</v>
          </cell>
          <cell r="K189">
            <v>0.1</v>
          </cell>
          <cell r="L189">
            <v>63250</v>
          </cell>
        </row>
        <row r="190">
          <cell r="C190">
            <v>8011021689</v>
          </cell>
          <cell r="D190" t="str">
            <v>异径套印尼(日标)PVC-U管件(AW给水系列)灰色 DN200x150 (8"x6") 联塑</v>
          </cell>
          <cell r="E190" t="str">
            <v>JIS PVC-U Reducing Socket (AW) DN200x150 (8"x6") Grey - LESSO</v>
          </cell>
          <cell r="F190">
            <v>1</v>
          </cell>
          <cell r="G190">
            <v>137241</v>
          </cell>
          <cell r="H190">
            <v>123641</v>
          </cell>
          <cell r="I190">
            <v>0.12</v>
          </cell>
          <cell r="J190">
            <v>140502</v>
          </cell>
          <cell r="K190">
            <v>0.1</v>
          </cell>
          <cell r="L190">
            <v>137379</v>
          </cell>
        </row>
        <row r="191">
          <cell r="C191">
            <v>8011021690</v>
          </cell>
          <cell r="D191" t="str">
            <v>异径套印尼(日标)PVC-U管件(AW给水系列)灰色 DN250x200 (10"x8") 联塑</v>
          </cell>
          <cell r="E191" t="str">
            <v>JIS PVC-U Reducing Socket (AW) DN250x200 (10"x8") Grey - LESSO</v>
          </cell>
          <cell r="F191">
            <v>1</v>
          </cell>
          <cell r="G191">
            <v>207367</v>
          </cell>
          <cell r="H191">
            <v>186818</v>
          </cell>
          <cell r="I191">
            <v>0.12</v>
          </cell>
          <cell r="J191">
            <v>212294</v>
          </cell>
          <cell r="K191">
            <v>0.1</v>
          </cell>
          <cell r="L191">
            <v>207576</v>
          </cell>
        </row>
        <row r="192">
          <cell r="C192">
            <v>8011021691</v>
          </cell>
          <cell r="D192" t="str">
            <v>异径套印尼(日标)PVC-U管件(AW给水系列)灰色 DN300x250 (12"x10") 联塑</v>
          </cell>
          <cell r="E192" t="str">
            <v>JIS PVC-U Reducing Socket (AW) DN300x250 (12"x10") Grey - LESSO</v>
          </cell>
          <cell r="F192">
            <v>1</v>
          </cell>
          <cell r="G192">
            <v>264853</v>
          </cell>
          <cell r="H192">
            <v>238607</v>
          </cell>
          <cell r="I192">
            <v>0.12</v>
          </cell>
          <cell r="J192">
            <v>271145</v>
          </cell>
          <cell r="K192">
            <v>0.1</v>
          </cell>
          <cell r="L192">
            <v>265119</v>
          </cell>
        </row>
        <row r="193">
          <cell r="C193">
            <v>80516397</v>
          </cell>
          <cell r="D193" t="str">
            <v>异径套印尼(日标)PVC-U管件(AW给水系列) DN65x50 (2-1/2''x 2") - RUCIKA</v>
          </cell>
          <cell r="E193" t="str">
            <v>JIS PVC-U Reducing Socket (AW) DN65x50 (2-1/2''x 2") - RUCIKA</v>
          </cell>
          <cell r="F193">
            <v>1</v>
          </cell>
          <cell r="G193">
            <v>0</v>
          </cell>
          <cell r="H193">
            <v>0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</row>
        <row r="194">
          <cell r="C194">
            <v>80516416</v>
          </cell>
          <cell r="D194" t="str">
            <v>异径套印尼(日标)PVC-U管件(AW给水系列) DN75x65 (3''x2-1/2") - RUCIKA</v>
          </cell>
          <cell r="E194" t="str">
            <v>JIS PVC-U Reducing Socket (AW) DN75x65 (3''x2-1/2") - RUCIKA</v>
          </cell>
          <cell r="F194">
            <v>1</v>
          </cell>
          <cell r="G194">
            <v>0</v>
          </cell>
          <cell r="H194">
            <v>0</v>
          </cell>
          <cell r="I194">
            <v>0.15</v>
          </cell>
          <cell r="J194">
            <v>0</v>
          </cell>
          <cell r="K194">
            <v>0.15</v>
          </cell>
          <cell r="L194">
            <v>0</v>
          </cell>
        </row>
        <row r="195">
          <cell r="C195">
            <v>80516401</v>
          </cell>
          <cell r="D195" t="str">
            <v>异径套印尼(日标)PVC-U管件(AW给水系列) DN75x40 (3"x1-1/2") - RUCIKA</v>
          </cell>
          <cell r="E195" t="str">
            <v>JIS PVC-U Reducing Socket (AW) DN75x40 (3"x1-1/2") - RUCIKA</v>
          </cell>
          <cell r="F195">
            <v>1</v>
          </cell>
          <cell r="G195">
            <v>0</v>
          </cell>
          <cell r="H195">
            <v>0</v>
          </cell>
          <cell r="I195">
            <v>0.15</v>
          </cell>
          <cell r="J195">
            <v>0</v>
          </cell>
          <cell r="K195">
            <v>0.15</v>
          </cell>
          <cell r="L195">
            <v>0</v>
          </cell>
        </row>
        <row r="196">
          <cell r="C196">
            <v>80516405</v>
          </cell>
          <cell r="D196" t="str">
            <v>异径套印尼(日标)PVC-U管件(AW给水系列) DN100x65 (4"x2-1/2") - RUCIKA</v>
          </cell>
          <cell r="E196" t="str">
            <v>JIS PVC-U Reducing Socket (AW) DN100x65 (4"x2-1/2") - RUCIKA</v>
          </cell>
          <cell r="F196">
            <v>1</v>
          </cell>
          <cell r="G196">
            <v>0</v>
          </cell>
          <cell r="H196">
            <v>0</v>
          </cell>
          <cell r="I196">
            <v>0.15</v>
          </cell>
          <cell r="J196">
            <v>0</v>
          </cell>
          <cell r="K196">
            <v>0.15</v>
          </cell>
          <cell r="L196">
            <v>0</v>
          </cell>
        </row>
        <row r="197">
          <cell r="C197">
            <v>80516412</v>
          </cell>
          <cell r="D197" t="str">
            <v>异径套印尼(日标)PVC-U管件(AW给水系列) DN200x100 (8"x4") - RUCIKA</v>
          </cell>
          <cell r="E197" t="str">
            <v>JIS PVC-U Reducing Socket (AW) DN200x100 (8"x4") - RUCIKA</v>
          </cell>
          <cell r="F197">
            <v>1</v>
          </cell>
          <cell r="G197">
            <v>0</v>
          </cell>
          <cell r="H197">
            <v>0</v>
          </cell>
          <cell r="I197">
            <v>0.15</v>
          </cell>
          <cell r="J197">
            <v>0</v>
          </cell>
          <cell r="K197">
            <v>0.15</v>
          </cell>
          <cell r="L197">
            <v>0</v>
          </cell>
        </row>
        <row r="198">
          <cell r="C198">
            <v>80516417</v>
          </cell>
          <cell r="D198" t="str">
            <v>印尼(日标) PVC-U 45°斜三通(AW给水系列)DN50 (2") - RUCIKA</v>
          </cell>
          <cell r="E198" t="str">
            <v>JIS PVC-U Y Branch (AW) DN50 (2") - RUCIKA</v>
          </cell>
          <cell r="F198">
            <v>1</v>
          </cell>
          <cell r="G198">
            <v>0</v>
          </cell>
          <cell r="H198">
            <v>0</v>
          </cell>
          <cell r="I198">
            <v>0.15</v>
          </cell>
          <cell r="J198">
            <v>0</v>
          </cell>
          <cell r="K198">
            <v>0.15</v>
          </cell>
          <cell r="L198">
            <v>0</v>
          </cell>
        </row>
        <row r="199">
          <cell r="C199">
            <v>80516421</v>
          </cell>
          <cell r="D199" t="str">
            <v>印尼(日标) PVC-U 45°斜三通(AW给水系列) DN75 (3") - RUCIKA</v>
          </cell>
          <cell r="E199" t="str">
            <v>JIS PVC-U Y Branch (AW) DN75 (3") - RUCIKA</v>
          </cell>
          <cell r="F199">
            <v>1</v>
          </cell>
          <cell r="G199">
            <v>0</v>
          </cell>
          <cell r="H199">
            <v>0</v>
          </cell>
          <cell r="I199">
            <v>0.15</v>
          </cell>
          <cell r="J199">
            <v>0</v>
          </cell>
          <cell r="K199">
            <v>0.15</v>
          </cell>
          <cell r="L199">
            <v>0</v>
          </cell>
        </row>
        <row r="200">
          <cell r="C200">
            <v>80516424</v>
          </cell>
          <cell r="D200" t="str">
            <v>印尼(日标) PVC-U 45°斜三通(AW给水系列) DN100 (4") - RUCIKA</v>
          </cell>
          <cell r="E200" t="str">
            <v>JIS PVC-U Y Branch (AW) DN100 (4") - RUCIKA</v>
          </cell>
          <cell r="F200">
            <v>1</v>
          </cell>
          <cell r="G200">
            <v>0</v>
          </cell>
          <cell r="H200">
            <v>0</v>
          </cell>
          <cell r="I200">
            <v>0.15</v>
          </cell>
          <cell r="J200">
            <v>0</v>
          </cell>
          <cell r="K200">
            <v>0.15</v>
          </cell>
          <cell r="L200">
            <v>0</v>
          </cell>
        </row>
        <row r="201">
          <cell r="C201">
            <v>80516428</v>
          </cell>
          <cell r="D201" t="str">
            <v>印尼(日标) PVC-U 45°斜三通(AW给水系列) DN200 (8") - RUCIKA</v>
          </cell>
          <cell r="E201" t="str">
            <v>JIS PVC-U Y Branch (AW) DN200 (8") - RUCIKA</v>
          </cell>
          <cell r="F201">
            <v>1</v>
          </cell>
          <cell r="G201">
            <v>0</v>
          </cell>
          <cell r="H201">
            <v>0</v>
          </cell>
          <cell r="I201">
            <v>0.15</v>
          </cell>
          <cell r="J201">
            <v>0</v>
          </cell>
          <cell r="K201">
            <v>0.15</v>
          </cell>
          <cell r="L201">
            <v>0</v>
          </cell>
        </row>
        <row r="202">
          <cell r="C202">
            <v>80516420</v>
          </cell>
          <cell r="D202" t="str">
            <v>印尼(日标) PVC-U 45°异径斜三通(AW给水系列) DN75x50 (3"x2") - RUCIKA</v>
          </cell>
          <cell r="E202" t="str">
            <v>JIS PVC-U Y Branch (AW) DN75x50 (3"x2") - RUCIKA</v>
          </cell>
          <cell r="F202">
            <v>1</v>
          </cell>
          <cell r="G202">
            <v>0</v>
          </cell>
          <cell r="H202">
            <v>0</v>
          </cell>
          <cell r="I202">
            <v>0.15</v>
          </cell>
          <cell r="J202">
            <v>0</v>
          </cell>
          <cell r="K202">
            <v>0.15</v>
          </cell>
          <cell r="L202">
            <v>0</v>
          </cell>
        </row>
        <row r="203">
          <cell r="C203">
            <v>80516422</v>
          </cell>
          <cell r="D203" t="str">
            <v>印尼(日标) PVC-U 45°异径斜三通(AW给水系列) DN100x50 (4"x2") - RUCIKA</v>
          </cell>
          <cell r="E203" t="str">
            <v>JIS PVC-U Y Branch (AW) DN100x50 (4"x2") - RUCIKA</v>
          </cell>
          <cell r="F203">
            <v>1</v>
          </cell>
          <cell r="G203">
            <v>0</v>
          </cell>
          <cell r="H203">
            <v>0</v>
          </cell>
          <cell r="I203">
            <v>0.15</v>
          </cell>
          <cell r="J203">
            <v>0</v>
          </cell>
          <cell r="K203">
            <v>0.15</v>
          </cell>
          <cell r="L203">
            <v>0</v>
          </cell>
        </row>
        <row r="204">
          <cell r="C204">
            <v>80516543</v>
          </cell>
          <cell r="D204" t="str">
            <v>印尼(日标) PVC-U 45°异径斜三通(AW给水系列) DN125x100 (5"x4") - RUCIKA</v>
          </cell>
          <cell r="E204" t="str">
            <v>JIS PVC-U Y Branch (AW) DN125x100 (5"x4") - RUCIKA</v>
          </cell>
          <cell r="F204">
            <v>1</v>
          </cell>
          <cell r="G204">
            <v>0</v>
          </cell>
          <cell r="H204">
            <v>0</v>
          </cell>
          <cell r="I204">
            <v>0.15</v>
          </cell>
          <cell r="J204">
            <v>0</v>
          </cell>
          <cell r="K204">
            <v>0.15</v>
          </cell>
          <cell r="L204">
            <v>0</v>
          </cell>
        </row>
        <row r="205">
          <cell r="C205">
            <v>80516427</v>
          </cell>
          <cell r="D205" t="str">
            <v>印尼(日标) PVC-U 45°异径斜三通(AW给水系列) DN200x100 (8"x4") - RUCIKA</v>
          </cell>
          <cell r="E205" t="str">
            <v>JIS PVC-U Y Branch (AW) DN200x100 (8"x4") - RUCIKA</v>
          </cell>
          <cell r="F205">
            <v>1</v>
          </cell>
          <cell r="G205">
            <v>0</v>
          </cell>
          <cell r="H205">
            <v>0</v>
          </cell>
          <cell r="I205">
            <v>0.15</v>
          </cell>
          <cell r="J205">
            <v>0</v>
          </cell>
          <cell r="K205">
            <v>0.15</v>
          </cell>
          <cell r="L205">
            <v>0</v>
          </cell>
        </row>
        <row r="206">
          <cell r="C206">
            <v>80516425</v>
          </cell>
          <cell r="D206" t="str">
            <v>印尼(日标) PVC-U 45异径斜三通(AW给水系列) DN150x75 (6"x3") - RUCIKA</v>
          </cell>
          <cell r="E206" t="str">
            <v>JIS PVC-U Y Branch (AW) DN150x75 (6"x3") - RUCIKA</v>
          </cell>
          <cell r="F206">
            <v>1</v>
          </cell>
          <cell r="G206">
            <v>0</v>
          </cell>
          <cell r="H206">
            <v>0</v>
          </cell>
          <cell r="I206">
            <v>0.15</v>
          </cell>
          <cell r="J206">
            <v>0</v>
          </cell>
          <cell r="K206">
            <v>0.15</v>
          </cell>
          <cell r="L206">
            <v>0</v>
          </cell>
        </row>
        <row r="207">
          <cell r="C207">
            <v>8010025106</v>
          </cell>
          <cell r="D207" t="str">
            <v>顺水三通印尼(日标)PVC-U管件(AW给水系列)灰色 DN100 (4") 联塑</v>
          </cell>
          <cell r="E207" t="str">
            <v>JIS PVC-U Large Radius Tee (AW) DN100 (4") Grey - LESSO</v>
          </cell>
          <cell r="F207">
            <v>1</v>
          </cell>
          <cell r="G207">
            <v>105304</v>
          </cell>
          <cell r="H207">
            <v>94869</v>
          </cell>
          <cell r="I207">
            <v>0.12</v>
          </cell>
          <cell r="J207">
            <v>107806</v>
          </cell>
          <cell r="K207">
            <v>0.1</v>
          </cell>
          <cell r="L207">
            <v>105410</v>
          </cell>
        </row>
        <row r="208">
          <cell r="C208">
            <v>80516379</v>
          </cell>
          <cell r="D208" t="str">
            <v>顺水三通印尼（日标）PVC-U管件(AW给水系列) DN40 (1-1/2") - RUCIKA</v>
          </cell>
          <cell r="E208" t="str">
            <v>JIS PVC-U Large Radius Tee (AW) DN40 (1-1/2") - RUCIKA</v>
          </cell>
          <cell r="F208">
            <v>1</v>
          </cell>
          <cell r="G208">
            <v>0</v>
          </cell>
          <cell r="H208">
            <v>0</v>
          </cell>
          <cell r="I208">
            <v>0.15</v>
          </cell>
          <cell r="J208">
            <v>0</v>
          </cell>
          <cell r="K208">
            <v>0.15</v>
          </cell>
          <cell r="L208">
            <v>0</v>
          </cell>
        </row>
        <row r="209">
          <cell r="C209">
            <v>80516363</v>
          </cell>
          <cell r="D209" t="str">
            <v>顺水三通印尼(日标) PVC-U管件(AW给水系列) DN50 (2") - RUCIKA</v>
          </cell>
          <cell r="E209" t="str">
            <v>JIS PVC-U Large Radius Tee (AW) DN50 (2") - RUCIKA</v>
          </cell>
          <cell r="F209">
            <v>1</v>
          </cell>
          <cell r="G209">
            <v>0</v>
          </cell>
          <cell r="H209">
            <v>0</v>
          </cell>
          <cell r="I209">
            <v>0.15</v>
          </cell>
          <cell r="J209">
            <v>0</v>
          </cell>
          <cell r="K209">
            <v>0.15</v>
          </cell>
          <cell r="L209">
            <v>0</v>
          </cell>
        </row>
        <row r="210">
          <cell r="C210">
            <v>80516380</v>
          </cell>
          <cell r="D210" t="str">
            <v>顺水三通印尼(日标) PVC-U管件(AW给水系列) DN65 (2-1/2") - RUCIKA</v>
          </cell>
          <cell r="E210" t="str">
            <v>JIS PVC-U Large Radius Tee (AW) DN65 (2-1/2") - RUCIKA</v>
          </cell>
          <cell r="F210">
            <v>1</v>
          </cell>
          <cell r="G210">
            <v>0</v>
          </cell>
          <cell r="H210">
            <v>0</v>
          </cell>
          <cell r="I210">
            <v>0.15</v>
          </cell>
          <cell r="J210">
            <v>0</v>
          </cell>
          <cell r="K210">
            <v>0.15</v>
          </cell>
          <cell r="L210">
            <v>0</v>
          </cell>
        </row>
        <row r="211">
          <cell r="C211">
            <v>80516367</v>
          </cell>
          <cell r="D211" t="str">
            <v>顺水三通印尼(日标) PVC-U管件(AW给水系列) DN75 (3") - RUCIKA</v>
          </cell>
          <cell r="E211" t="str">
            <v>JIS PVC-U Large Radius Tee (AW) DN75 (3") - RUCIKA</v>
          </cell>
          <cell r="F211">
            <v>1</v>
          </cell>
          <cell r="G211">
            <v>0</v>
          </cell>
          <cell r="H211">
            <v>0</v>
          </cell>
          <cell r="I211">
            <v>0.15</v>
          </cell>
          <cell r="J211">
            <v>0</v>
          </cell>
          <cell r="K211">
            <v>0.15</v>
          </cell>
          <cell r="L211">
            <v>0</v>
          </cell>
        </row>
        <row r="212">
          <cell r="C212">
            <v>80516375</v>
          </cell>
          <cell r="D212" t="str">
            <v>顺水三通印尼(日标) PVC-U管件(AW给水系列) DN150 (6") - RUCIKA</v>
          </cell>
          <cell r="E212" t="str">
            <v>JIS PVC-U Large Radius Tee (AW) DN150 (6") - RUCIKA</v>
          </cell>
          <cell r="F212">
            <v>1</v>
          </cell>
          <cell r="G212">
            <v>0</v>
          </cell>
          <cell r="H212">
            <v>0</v>
          </cell>
          <cell r="I212">
            <v>0.15</v>
          </cell>
          <cell r="J212">
            <v>0</v>
          </cell>
          <cell r="K212">
            <v>0.15</v>
          </cell>
          <cell r="L212">
            <v>0</v>
          </cell>
        </row>
        <row r="213">
          <cell r="C213">
            <v>80516378</v>
          </cell>
          <cell r="D213" t="str">
            <v>顺水三通印尼(日标) PVC-U管件(AW给水系列) DN200 (8") - RUCIKA</v>
          </cell>
          <cell r="E213" t="str">
            <v>JIS PVC-U Large Radius Tee (AW) DN200 (8") - RUCIKA</v>
          </cell>
          <cell r="F213">
            <v>1</v>
          </cell>
          <cell r="G213">
            <v>0</v>
          </cell>
          <cell r="H213">
            <v>0</v>
          </cell>
          <cell r="I213">
            <v>0.15</v>
          </cell>
          <cell r="J213">
            <v>0</v>
          </cell>
          <cell r="K213">
            <v>0.15</v>
          </cell>
          <cell r="L213">
            <v>0</v>
          </cell>
        </row>
        <row r="214">
          <cell r="C214">
            <v>8010025107</v>
          </cell>
          <cell r="D214" t="str">
            <v>异径顺水三通印尼(日标)PVC-U管件(AW给水系列)灰色 DN100x50 (4"x2") 联塑</v>
          </cell>
          <cell r="E214" t="str">
            <v>JIS PVC-U Large Radius Tee (AW) DN100x50 (4"x2") Grey - LESSO</v>
          </cell>
          <cell r="F214">
            <v>1</v>
          </cell>
          <cell r="G214">
            <v>62541</v>
          </cell>
          <cell r="H214">
            <v>56344</v>
          </cell>
          <cell r="I214">
            <v>0.12</v>
          </cell>
          <cell r="J214">
            <v>64028</v>
          </cell>
          <cell r="K214">
            <v>0.1</v>
          </cell>
          <cell r="L214">
            <v>62605</v>
          </cell>
        </row>
        <row r="215">
          <cell r="C215">
            <v>8010025487</v>
          </cell>
          <cell r="D215" t="str">
            <v>异径顺水三通印尼(日标)PVC-U管件(AW给水系列)灰色 DN150x100 (6"x4") 联塑</v>
          </cell>
          <cell r="E215" t="str">
            <v>JIS PVC-U Large Radius Tee (AW) DN150x100 (6"x4") Grey - LESSO</v>
          </cell>
          <cell r="F215">
            <v>1</v>
          </cell>
          <cell r="G215">
            <v>200096</v>
          </cell>
          <cell r="H215">
            <v>180267</v>
          </cell>
          <cell r="I215">
            <v>0.12</v>
          </cell>
          <cell r="J215">
            <v>204849</v>
          </cell>
          <cell r="K215">
            <v>0.1</v>
          </cell>
          <cell r="L215">
            <v>200297</v>
          </cell>
        </row>
        <row r="216">
          <cell r="C216">
            <v>80516504</v>
          </cell>
          <cell r="D216" t="str">
            <v>异径顺水三通印尼（日标）PVC-U管件(D排水系列) DN40x32 (1-1/2"x1-1/4") - RUCIKA</v>
          </cell>
          <cell r="E216" t="str">
            <v>JIS PVC-U Large Radius Tee (AW) DN40x32 (1-1/2"x1-1/4") - RUCIKA</v>
          </cell>
          <cell r="F216">
            <v>1</v>
          </cell>
          <cell r="G216">
            <v>0</v>
          </cell>
          <cell r="H216">
            <v>0</v>
          </cell>
          <cell r="I216">
            <v>0.15</v>
          </cell>
          <cell r="J216">
            <v>0</v>
          </cell>
          <cell r="K216">
            <v>0.15</v>
          </cell>
          <cell r="L216">
            <v>0</v>
          </cell>
        </row>
        <row r="217">
          <cell r="C217">
            <v>80516358</v>
          </cell>
          <cell r="D217" t="str">
            <v>异径顺水三通印尼(日标) PVC-U管件(AW给水系列) DN50x40 (2"x1-1/2") - RUCIKA</v>
          </cell>
          <cell r="E217" t="str">
            <v>JIS PVC-U Large Radius Tee (AW) DN50x40 (2"x1-1/2") - RUCIKA</v>
          </cell>
          <cell r="F217">
            <v>1</v>
          </cell>
          <cell r="G217">
            <v>0</v>
          </cell>
          <cell r="H217">
            <v>0</v>
          </cell>
          <cell r="I217">
            <v>0.15</v>
          </cell>
          <cell r="J217">
            <v>0</v>
          </cell>
          <cell r="K217">
            <v>0.15</v>
          </cell>
          <cell r="L217">
            <v>0</v>
          </cell>
        </row>
        <row r="218">
          <cell r="C218">
            <v>102277</v>
          </cell>
          <cell r="D218" t="str">
            <v>异径顺水三通印尼(日标) PVC-U管件(AW给水系列) DN65x50 (2-1/2"x2") - RUCIKA</v>
          </cell>
          <cell r="E218" t="str">
            <v>JIS PVC-U Large Radius Tee (AW) DN65x50 (2-1/2"x2") - RUCIKA</v>
          </cell>
          <cell r="F218">
            <v>1</v>
          </cell>
          <cell r="G218">
            <v>0</v>
          </cell>
          <cell r="H218">
            <v>0</v>
          </cell>
          <cell r="I218">
            <v>0.15</v>
          </cell>
          <cell r="J218">
            <v>0</v>
          </cell>
          <cell r="K218">
            <v>0.15</v>
          </cell>
          <cell r="L218">
            <v>0</v>
          </cell>
        </row>
        <row r="219">
          <cell r="C219">
            <v>80516366</v>
          </cell>
          <cell r="D219" t="str">
            <v>异径顺水三通印尼(日标) PVC-U管件(AW给水系列) DN75x50 (3"x2") - RUCIKA</v>
          </cell>
          <cell r="E219" t="str">
            <v>JIS PVC-U Large Radius Tee (AW) DN75x50 (3"x2") - RUCIKA</v>
          </cell>
          <cell r="F219">
            <v>1</v>
          </cell>
          <cell r="G219">
            <v>0</v>
          </cell>
          <cell r="H219">
            <v>0</v>
          </cell>
          <cell r="I219">
            <v>0.15</v>
          </cell>
          <cell r="J219">
            <v>0</v>
          </cell>
          <cell r="K219">
            <v>0.15</v>
          </cell>
          <cell r="L219">
            <v>0</v>
          </cell>
        </row>
        <row r="220">
          <cell r="C220">
            <v>80516513</v>
          </cell>
          <cell r="D220" t="str">
            <v>异径顺水三通印尼(日标) PVC-U管件(AW给水系列) DN75x65 (3"x2-1/2") - RUCIKA</v>
          </cell>
          <cell r="E220" t="str">
            <v>JIS PVC-U Large Radius Tee (AW) DN75x65 (3"x2-1/2") - RUCIKA</v>
          </cell>
          <cell r="F220">
            <v>1</v>
          </cell>
          <cell r="G220">
            <v>0</v>
          </cell>
          <cell r="H220">
            <v>0</v>
          </cell>
          <cell r="I220">
            <v>0.15</v>
          </cell>
          <cell r="J220">
            <v>0</v>
          </cell>
          <cell r="K220">
            <v>0.15</v>
          </cell>
          <cell r="L220">
            <v>0</v>
          </cell>
        </row>
        <row r="221">
          <cell r="C221">
            <v>80516359</v>
          </cell>
          <cell r="D221" t="str">
            <v>异径顺水三通印尼(日标) PVC-U管件(AW给水系列) DN100x50 (4"x2") - RUCIKA</v>
          </cell>
          <cell r="E221" t="str">
            <v>JIS PVC-U Large Radius Tee (AW) DN100x50 (4"x2") - RUCIKA</v>
          </cell>
          <cell r="F221">
            <v>1</v>
          </cell>
          <cell r="G221">
            <v>0</v>
          </cell>
          <cell r="H221">
            <v>0</v>
          </cell>
          <cell r="I221">
            <v>0.15</v>
          </cell>
          <cell r="J221">
            <v>0</v>
          </cell>
          <cell r="K221">
            <v>0.15</v>
          </cell>
          <cell r="L221">
            <v>0</v>
          </cell>
        </row>
        <row r="222">
          <cell r="C222">
            <v>80516361</v>
          </cell>
          <cell r="D222" t="str">
            <v>异径顺水三通印尼(日标) PVC-U管件(AW给水系列) DN100x75 (4"x3") - RUCIKA</v>
          </cell>
          <cell r="E222" t="str">
            <v>JIS PVC-U Large Radius Tee (AW) DN100x75 (4"x3") - RUCIKA</v>
          </cell>
          <cell r="F222">
            <v>1</v>
          </cell>
          <cell r="G222">
            <v>0</v>
          </cell>
          <cell r="H222">
            <v>0</v>
          </cell>
          <cell r="I222">
            <v>0.15</v>
          </cell>
          <cell r="J222">
            <v>0</v>
          </cell>
          <cell r="K222">
            <v>0.15</v>
          </cell>
          <cell r="L222">
            <v>0</v>
          </cell>
        </row>
        <row r="223">
          <cell r="C223">
            <v>80516374</v>
          </cell>
          <cell r="D223" t="str">
            <v>异径顺水三通印尼(日标) PVC-U管件(AW给水系列) DN150x100 (6"x4") - RUCIKA</v>
          </cell>
          <cell r="E223" t="str">
            <v>JIS PVC-U Large Radius Tee (AW) DN150x100 (6"x4") - RUCIKA</v>
          </cell>
          <cell r="F223">
            <v>1</v>
          </cell>
          <cell r="G223">
            <v>0</v>
          </cell>
          <cell r="H223">
            <v>0</v>
          </cell>
          <cell r="I223">
            <v>0.15</v>
          </cell>
          <cell r="J223">
            <v>0</v>
          </cell>
          <cell r="K223">
            <v>0.15</v>
          </cell>
          <cell r="L223">
            <v>0</v>
          </cell>
        </row>
        <row r="224">
          <cell r="C224">
            <v>80516376</v>
          </cell>
          <cell r="D224" t="str">
            <v>异径顺水三通印尼(日标) PVC-U管件(AW给水系列) DN200x100 (8"x4") - RUCIKA</v>
          </cell>
          <cell r="E224" t="str">
            <v>JIS PVC-U Large Radius Tee (AW) DN200x100 (8"x4") - RUCIKA</v>
          </cell>
          <cell r="F224">
            <v>1</v>
          </cell>
          <cell r="G224">
            <v>0</v>
          </cell>
          <cell r="H224">
            <v>0</v>
          </cell>
          <cell r="I224">
            <v>0.15</v>
          </cell>
          <cell r="J224">
            <v>0</v>
          </cell>
          <cell r="K224">
            <v>0.15</v>
          </cell>
          <cell r="L224">
            <v>0</v>
          </cell>
        </row>
        <row r="225">
          <cell r="C225">
            <v>80516377</v>
          </cell>
          <cell r="D225" t="str">
            <v>异径顺水三通印尼(日标) PVC-U管件(AW给水系列) DN200x150 (8"x6") - RUCIKA</v>
          </cell>
          <cell r="E225" t="str">
            <v>JIS PVC-U Large Radius Tee (AW) DN200x150 (8"x6") - RUCIKA</v>
          </cell>
          <cell r="F225">
            <v>1</v>
          </cell>
          <cell r="G225">
            <v>0</v>
          </cell>
          <cell r="H225">
            <v>0</v>
          </cell>
          <cell r="I225">
            <v>0.15</v>
          </cell>
          <cell r="J225">
            <v>0</v>
          </cell>
          <cell r="K225">
            <v>0.15</v>
          </cell>
          <cell r="L225">
            <v>0</v>
          </cell>
        </row>
        <row r="226">
          <cell r="C226">
            <v>80090938</v>
          </cell>
          <cell r="D226" t="str">
            <v>异径顺水三通PVC-U管件(AW 系列) DN200x100 (8"x4") - CM</v>
          </cell>
          <cell r="E226" t="str">
            <v>PVC-U Large Radius Tee (AW) DN200x100 (8"x4") - CM</v>
          </cell>
          <cell r="F226">
            <v>1</v>
          </cell>
          <cell r="G226">
            <v>0</v>
          </cell>
          <cell r="H226">
            <v>0</v>
          </cell>
          <cell r="I226">
            <v>0.12</v>
          </cell>
          <cell r="J226">
            <v>0</v>
          </cell>
          <cell r="K226">
            <v>0.1</v>
          </cell>
          <cell r="L226">
            <v>0</v>
          </cell>
        </row>
        <row r="227">
          <cell r="C227">
            <v>8020022639</v>
          </cell>
          <cell r="D227" t="str">
            <v>直通印尼(日标)PVC-U管件(D排水系列)灰色 DN35 (1-1/4") 联塑</v>
          </cell>
          <cell r="E227" t="str">
            <v>JIS PVC-U Socket (D - DS) DN35 (1-1/4") Grey - LESSO</v>
          </cell>
          <cell r="F227">
            <v>1</v>
          </cell>
          <cell r="G227">
            <v>1394</v>
          </cell>
          <cell r="H227">
            <v>1256</v>
          </cell>
          <cell r="I227">
            <v>0.12</v>
          </cell>
          <cell r="J227">
            <v>1428</v>
          </cell>
          <cell r="K227">
            <v>0.1</v>
          </cell>
          <cell r="L227">
            <v>1396</v>
          </cell>
        </row>
        <row r="228">
          <cell r="C228">
            <v>8020022808</v>
          </cell>
          <cell r="D228" t="str">
            <v>直通印尼(日标)PVC-U管件(D排水系列)灰色 DN40 (1-1/2") 联塑</v>
          </cell>
          <cell r="E228" t="str">
            <v>JIS PVC-U Socket (D - DS) DN40 (1-1/2") Grey - LESSO</v>
          </cell>
          <cell r="F228">
            <v>1</v>
          </cell>
          <cell r="G228">
            <v>1620</v>
          </cell>
          <cell r="H228">
            <v>1460</v>
          </cell>
          <cell r="I228">
            <v>0.12</v>
          </cell>
          <cell r="J228">
            <v>1660</v>
          </cell>
          <cell r="K228">
            <v>0.1</v>
          </cell>
          <cell r="L228">
            <v>1623</v>
          </cell>
        </row>
        <row r="229">
          <cell r="C229">
            <v>8020022667</v>
          </cell>
          <cell r="D229" t="str">
            <v>直通印尼(日标)PVC-U管件(D排水系列)灰色 DN50 (2") 联塑</v>
          </cell>
          <cell r="E229" t="str">
            <v>JIS PVC-U Socket (D - DS) DN50 (2") Grey - LESSO</v>
          </cell>
          <cell r="F229">
            <v>1</v>
          </cell>
          <cell r="G229">
            <v>2400</v>
          </cell>
          <cell r="H229">
            <v>2163</v>
          </cell>
          <cell r="I229">
            <v>0.12</v>
          </cell>
          <cell r="J229">
            <v>2458</v>
          </cell>
          <cell r="K229">
            <v>0.1</v>
          </cell>
          <cell r="L229">
            <v>2404</v>
          </cell>
        </row>
        <row r="230">
          <cell r="C230">
            <v>8020022624</v>
          </cell>
          <cell r="D230" t="str">
            <v>直通印尼(日标)PVC-U管件(D排水系列)灰色 DN65 (2-1/2") 联塑</v>
          </cell>
          <cell r="E230" t="str">
            <v>JIS PVC-U Socket (D - DS) 2-1/2" Grey - LESSO</v>
          </cell>
          <cell r="F230">
            <v>1</v>
          </cell>
          <cell r="G230">
            <v>3940</v>
          </cell>
          <cell r="H230">
            <v>3550</v>
          </cell>
          <cell r="I230">
            <v>0.12</v>
          </cell>
          <cell r="J230">
            <v>4035</v>
          </cell>
          <cell r="K230">
            <v>0.1</v>
          </cell>
          <cell r="L230">
            <v>3945</v>
          </cell>
        </row>
        <row r="231">
          <cell r="C231">
            <v>8020022668</v>
          </cell>
          <cell r="D231" t="str">
            <v>直通印尼(日标)PVC-U管件(D排水系列)灰色 DN75 (3") 联塑</v>
          </cell>
          <cell r="E231" t="str">
            <v>JIS PVC-U Socket (D - DS) DN75 (3") Grey - LESSO</v>
          </cell>
          <cell r="F231">
            <v>1</v>
          </cell>
          <cell r="G231">
            <v>6060</v>
          </cell>
          <cell r="H231">
            <v>5460</v>
          </cell>
          <cell r="I231">
            <v>0.12</v>
          </cell>
          <cell r="J231">
            <v>6205</v>
          </cell>
          <cell r="K231">
            <v>0.1</v>
          </cell>
          <cell r="L231">
            <v>6067</v>
          </cell>
        </row>
        <row r="232">
          <cell r="C232">
            <v>8020022669</v>
          </cell>
          <cell r="D232" t="str">
            <v>直通印尼(日标)PVC-U管件(D排水系列)灰色 DN100 (4") 联塑</v>
          </cell>
          <cell r="E232" t="str">
            <v>JIS PVC-U Socket (D - DS) DN100 (4") Grey - LESSO</v>
          </cell>
          <cell r="F232">
            <v>1</v>
          </cell>
          <cell r="G232">
            <v>10632</v>
          </cell>
          <cell r="H232">
            <v>9579</v>
          </cell>
          <cell r="I232">
            <v>0.12</v>
          </cell>
          <cell r="J232">
            <v>10886</v>
          </cell>
          <cell r="K232">
            <v>0.1</v>
          </cell>
          <cell r="L232">
            <v>10644</v>
          </cell>
        </row>
        <row r="233">
          <cell r="C233">
            <v>8020022670</v>
          </cell>
          <cell r="D233" t="str">
            <v>直通印尼(日标)PVC-U管件(D排水系列)灰色 DN150 (6") 联塑</v>
          </cell>
          <cell r="E233" t="str">
            <v>JIS PVC-U Socket (D - DS) DN150 (6") Grey - LESSO</v>
          </cell>
          <cell r="F233">
            <v>1</v>
          </cell>
          <cell r="G233">
            <v>26223</v>
          </cell>
          <cell r="H233">
            <v>23625</v>
          </cell>
          <cell r="I233">
            <v>0.12</v>
          </cell>
          <cell r="J233">
            <v>26847</v>
          </cell>
          <cell r="K233">
            <v>0.1</v>
          </cell>
          <cell r="L233">
            <v>26250</v>
          </cell>
        </row>
        <row r="234">
          <cell r="C234">
            <v>8020026064</v>
          </cell>
          <cell r="D234" t="str">
            <v>直通印尼(日标)PVC-U管件(D排水系列)灰色 DN200 (8") 联塑</v>
          </cell>
          <cell r="E234" t="str">
            <v>JIS PVC-U Socket (D - DS) DN200 (8") Grey - LESSO</v>
          </cell>
          <cell r="F234">
            <v>1</v>
          </cell>
          <cell r="G234">
            <v>63504</v>
          </cell>
          <cell r="H234">
            <v>57211</v>
          </cell>
          <cell r="I234">
            <v>0.12</v>
          </cell>
          <cell r="J234">
            <v>65013</v>
          </cell>
          <cell r="K234">
            <v>0.1</v>
          </cell>
          <cell r="L234">
            <v>63568</v>
          </cell>
        </row>
        <row r="235">
          <cell r="C235">
            <v>8020026152</v>
          </cell>
          <cell r="D235" t="str">
            <v>直通印尼(日标)PVC-U管件(D排水系列)灰色 DN250 (10") 联塑</v>
          </cell>
          <cell r="E235" t="str">
            <v>JIS PVC-U Socket (D - DS) DN250 (10") Grey - LESSO</v>
          </cell>
          <cell r="F235">
            <v>1</v>
          </cell>
          <cell r="G235">
            <v>87582</v>
          </cell>
          <cell r="H235">
            <v>78903</v>
          </cell>
          <cell r="I235">
            <v>0.12</v>
          </cell>
          <cell r="J235">
            <v>89663</v>
          </cell>
          <cell r="K235">
            <v>0.1</v>
          </cell>
          <cell r="L235">
            <v>87670</v>
          </cell>
        </row>
        <row r="236">
          <cell r="C236">
            <v>8020026151</v>
          </cell>
          <cell r="D236" t="str">
            <v>直通印尼(日标)PVC-U管件(D排水系列)灰色 DN300 (12") 联塑</v>
          </cell>
          <cell r="E236" t="str">
            <v>JIS PVC-U Socket (D - DS) DN300 (12") Grey - LESSO</v>
          </cell>
          <cell r="F236">
            <v>1</v>
          </cell>
          <cell r="G236">
            <v>135435</v>
          </cell>
          <cell r="H236">
            <v>122014</v>
          </cell>
          <cell r="I236">
            <v>0.12</v>
          </cell>
          <cell r="J236">
            <v>138653</v>
          </cell>
          <cell r="K236">
            <v>0.1</v>
          </cell>
          <cell r="L236">
            <v>135572</v>
          </cell>
        </row>
        <row r="237">
          <cell r="C237">
            <v>8020022805</v>
          </cell>
          <cell r="D237" t="str">
            <v>45°弯头印尼(日标)PVC-U管件(D排水系列)灰色 DN35 (1-1/4") 联塑</v>
          </cell>
          <cell r="E237" t="str">
            <v>JIS PVC-U 45° Elbow (D - 45L) DN35 (1-1/4") Grey - LESSO</v>
          </cell>
          <cell r="F237">
            <v>1</v>
          </cell>
          <cell r="G237">
            <v>1940</v>
          </cell>
          <cell r="H237">
            <v>1748</v>
          </cell>
          <cell r="I237">
            <v>0.12</v>
          </cell>
          <cell r="J237">
            <v>1987</v>
          </cell>
          <cell r="K237">
            <v>0.1</v>
          </cell>
          <cell r="L237">
            <v>1943</v>
          </cell>
        </row>
        <row r="238">
          <cell r="C238">
            <v>8020022754</v>
          </cell>
          <cell r="D238" t="str">
            <v>45°弯头印尼(日标)PVC-U管件(D排水系列)灰色 DN40 (1-1/2") 联塑</v>
          </cell>
          <cell r="E238" t="str">
            <v>JIS PVC-U 45° Elbow (D - 45L) DN40 (1-1/2") Grey - LESSO</v>
          </cell>
          <cell r="F238">
            <v>1</v>
          </cell>
          <cell r="G238">
            <v>2220</v>
          </cell>
          <cell r="H238">
            <v>2000</v>
          </cell>
          <cell r="I238">
            <v>0.12</v>
          </cell>
          <cell r="J238">
            <v>2273</v>
          </cell>
          <cell r="K238">
            <v>0.1</v>
          </cell>
          <cell r="L238">
            <v>2223</v>
          </cell>
        </row>
        <row r="239">
          <cell r="C239">
            <v>8020022742</v>
          </cell>
          <cell r="D239" t="str">
            <v>45°弯头印尼(日标)PVC-U管件(D排水系列)灰色 DN50 (2") 联塑</v>
          </cell>
          <cell r="E239" t="str">
            <v>JIS PVC-U 45° Elbow ((D - 45L)) DN50 (2") Grey - LESSO</v>
          </cell>
          <cell r="F239">
            <v>1</v>
          </cell>
          <cell r="G239">
            <v>3818</v>
          </cell>
          <cell r="H239">
            <v>3440</v>
          </cell>
          <cell r="I239">
            <v>0.12</v>
          </cell>
          <cell r="J239">
            <v>3910</v>
          </cell>
          <cell r="K239">
            <v>0.1</v>
          </cell>
          <cell r="L239">
            <v>3823</v>
          </cell>
        </row>
        <row r="240">
          <cell r="C240">
            <v>8020022618</v>
          </cell>
          <cell r="D240" t="str">
            <v>45°弯头印尼(日标)PVC-U管件(D排水系列)灰色 DN65 (2-1/2") 联塑</v>
          </cell>
          <cell r="E240" t="str">
            <v>JIS PVC-U 45° Elbow ((D - 45L)) 2-1/2" Grey - LESSO</v>
          </cell>
          <cell r="F240">
            <v>1</v>
          </cell>
          <cell r="G240">
            <v>5941</v>
          </cell>
          <cell r="H240">
            <v>5353</v>
          </cell>
          <cell r="I240">
            <v>0.12</v>
          </cell>
          <cell r="J240">
            <v>6083</v>
          </cell>
          <cell r="K240">
            <v>0.1</v>
          </cell>
          <cell r="L240">
            <v>5948</v>
          </cell>
        </row>
        <row r="241">
          <cell r="C241">
            <v>8020022755</v>
          </cell>
          <cell r="D241" t="str">
            <v>45°弯头印尼(日标)PVC-U管件(D排水系列)灰色 DN75 (3") 联塑</v>
          </cell>
          <cell r="E241" t="str">
            <v>JIS PVC-U 45° Elbow ((D - 45L)) DN75 (3") Grey - LESSO</v>
          </cell>
          <cell r="F241">
            <v>1</v>
          </cell>
          <cell r="G241">
            <v>8312</v>
          </cell>
          <cell r="H241">
            <v>7489</v>
          </cell>
          <cell r="I241">
            <v>0.12</v>
          </cell>
          <cell r="J241">
            <v>8511</v>
          </cell>
          <cell r="K241">
            <v>0.1</v>
          </cell>
          <cell r="L241">
            <v>8322</v>
          </cell>
        </row>
        <row r="242">
          <cell r="C242">
            <v>8020022756</v>
          </cell>
          <cell r="D242" t="str">
            <v>45°弯头印尼(日标)PVC-U管件(D排水系列)灰色 DN100 (4") 联塑</v>
          </cell>
          <cell r="E242" t="str">
            <v>JIS PVC-U 45° Elbow ((D - 45L)) DN100 (4") Grey - LESSO</v>
          </cell>
          <cell r="F242">
            <v>1</v>
          </cell>
          <cell r="G242">
            <v>14062</v>
          </cell>
          <cell r="H242">
            <v>12669</v>
          </cell>
          <cell r="I242">
            <v>0.12</v>
          </cell>
          <cell r="J242">
            <v>14397</v>
          </cell>
          <cell r="K242">
            <v>0.1</v>
          </cell>
          <cell r="L242">
            <v>14077</v>
          </cell>
        </row>
        <row r="243">
          <cell r="C243">
            <v>8020026126</v>
          </cell>
          <cell r="D243" t="str">
            <v>45°弯头印尼(日标)PVC-U管件(D排水系列)灰色 DN125 (5") 联塑</v>
          </cell>
          <cell r="E243" t="str">
            <v>JIS PVC-U 45° Elbow (D - 45L) DN125 (5") Grey - LESSO</v>
          </cell>
          <cell r="F243">
            <v>1</v>
          </cell>
          <cell r="G243">
            <v>29495</v>
          </cell>
          <cell r="H243">
            <v>26573</v>
          </cell>
          <cell r="I243">
            <v>0.12</v>
          </cell>
          <cell r="J243">
            <v>30197</v>
          </cell>
          <cell r="K243">
            <v>0.1</v>
          </cell>
          <cell r="L243">
            <v>29526</v>
          </cell>
        </row>
        <row r="244">
          <cell r="C244">
            <v>8020022757</v>
          </cell>
          <cell r="D244" t="str">
            <v>45°弯头印尼(日标)PVC-U管件(D排水系列)灰色 DN150 (6") 联塑</v>
          </cell>
          <cell r="E244" t="str">
            <v>JIS PVC-U 45° Elbow ((D - 45L)) DN150 (6") Grey - LESSO</v>
          </cell>
          <cell r="F244">
            <v>1</v>
          </cell>
          <cell r="G244">
            <v>59465</v>
          </cell>
          <cell r="H244">
            <v>53573</v>
          </cell>
          <cell r="I244">
            <v>0.12</v>
          </cell>
          <cell r="J244">
            <v>60879</v>
          </cell>
          <cell r="K244">
            <v>0.1</v>
          </cell>
          <cell r="L244">
            <v>59526</v>
          </cell>
        </row>
        <row r="245">
          <cell r="C245">
            <v>8020026127</v>
          </cell>
          <cell r="D245" t="str">
            <v>45°弯头印尼(日标)PVC-U管件(D排水系列)灰色 DN200 (8") 联塑</v>
          </cell>
          <cell r="E245" t="str">
            <v>JIS PVC-U 45° Elbow (D - 45L) DN200 (8") Grey - LESSO</v>
          </cell>
          <cell r="F245">
            <v>1</v>
          </cell>
          <cell r="G245">
            <v>102629</v>
          </cell>
          <cell r="H245">
            <v>92459</v>
          </cell>
          <cell r="I245">
            <v>0.12</v>
          </cell>
          <cell r="J245">
            <v>105068</v>
          </cell>
          <cell r="K245">
            <v>0.1</v>
          </cell>
          <cell r="L245">
            <v>102733</v>
          </cell>
        </row>
        <row r="246">
          <cell r="C246">
            <v>8020026142</v>
          </cell>
          <cell r="D246" t="str">
            <v>45°弯头印尼(日标)PVC-U管件(D排水系列)灰色 DN250 (10") 联塑</v>
          </cell>
          <cell r="E246" t="str">
            <v>JIS PVC-U 45° Elbow ((D - 45L)) DN250 (10") Grey - LESSO</v>
          </cell>
          <cell r="F246">
            <v>1</v>
          </cell>
          <cell r="G246">
            <v>149581</v>
          </cell>
          <cell r="H246">
            <v>134758</v>
          </cell>
          <cell r="I246">
            <v>0.12</v>
          </cell>
          <cell r="J246">
            <v>153135</v>
          </cell>
          <cell r="K246">
            <v>0.1</v>
          </cell>
          <cell r="L246">
            <v>149732</v>
          </cell>
        </row>
        <row r="247">
          <cell r="C247">
            <v>8020026143</v>
          </cell>
          <cell r="D247" t="str">
            <v>45°弯头印尼(日标)PVC-U管件(D排水系列)灰色 DN300 (12") 联塑</v>
          </cell>
          <cell r="E247" t="str">
            <v>JIS PVC-U 45° Elbow ((D - 45L)) DN300 (12") Grey - LESSO</v>
          </cell>
          <cell r="F247">
            <v>1</v>
          </cell>
          <cell r="G247">
            <v>232046</v>
          </cell>
          <cell r="H247">
            <v>209051</v>
          </cell>
          <cell r="I247">
            <v>0.12</v>
          </cell>
          <cell r="J247">
            <v>237558</v>
          </cell>
          <cell r="K247">
            <v>0.1</v>
          </cell>
          <cell r="L247">
            <v>232279</v>
          </cell>
        </row>
        <row r="248">
          <cell r="C248">
            <v>8020022746</v>
          </cell>
          <cell r="D248" t="str">
            <v>90°弯头印尼(日标)PVC-U管件(D排水系列)灰色 DN35 (1-1/4") 联塑</v>
          </cell>
          <cell r="E248" t="str">
            <v>JIS PVC-U 90° Elbow (D - DT) DN35 (1-1/4") Grey - LESSO</v>
          </cell>
          <cell r="F248">
            <v>1</v>
          </cell>
          <cell r="G248">
            <v>1892</v>
          </cell>
          <cell r="H248">
            <v>1705</v>
          </cell>
          <cell r="I248">
            <v>0.12</v>
          </cell>
          <cell r="J248">
            <v>1938</v>
          </cell>
          <cell r="K248">
            <v>0.1</v>
          </cell>
          <cell r="L248">
            <v>1895</v>
          </cell>
        </row>
        <row r="249">
          <cell r="C249">
            <v>8020022760</v>
          </cell>
          <cell r="D249" t="str">
            <v>90°弯头印尼(日标)PVC-U管件(D排水系列)灰色 DN40 (1-1/2") 联塑</v>
          </cell>
          <cell r="E249" t="str">
            <v>JIS PVC-U 90° Elbow (D - DT) DN40 (1-1/2") Grey - LESSO</v>
          </cell>
          <cell r="F249">
            <v>1</v>
          </cell>
          <cell r="G249">
            <v>2392</v>
          </cell>
          <cell r="H249">
            <v>2155</v>
          </cell>
          <cell r="I249">
            <v>0.12</v>
          </cell>
          <cell r="J249">
            <v>2449</v>
          </cell>
          <cell r="K249">
            <v>0.1</v>
          </cell>
          <cell r="L249">
            <v>2395</v>
          </cell>
        </row>
        <row r="250">
          <cell r="C250">
            <v>8020022822</v>
          </cell>
          <cell r="D250" t="str">
            <v>90°弯头印尼(日标)PVC-U管件(D排水系列)灰色 DN50 (2") 联塑</v>
          </cell>
          <cell r="E250" t="str">
            <v>JIS PVC-U 90° Elbow (D - DT) DN50 (2") Grey - LESSO</v>
          </cell>
          <cell r="F250">
            <v>1</v>
          </cell>
          <cell r="G250">
            <v>3763</v>
          </cell>
          <cell r="H250">
            <v>3391</v>
          </cell>
          <cell r="I250">
            <v>0.12</v>
          </cell>
          <cell r="J250">
            <v>3854</v>
          </cell>
          <cell r="K250">
            <v>0.1</v>
          </cell>
          <cell r="L250">
            <v>3768</v>
          </cell>
        </row>
        <row r="251">
          <cell r="C251">
            <v>8020022619</v>
          </cell>
          <cell r="D251" t="str">
            <v>90°弯头印尼(日标)PVC-U管件(D排水系列)灰色 DN65 (2-1/2") 联塑</v>
          </cell>
          <cell r="E251" t="str">
            <v>JIS PVC-U 90° Elbow (D - DT) DN65 (2-1/2") Grey - LESSO</v>
          </cell>
          <cell r="F251">
            <v>1</v>
          </cell>
          <cell r="G251">
            <v>6789</v>
          </cell>
          <cell r="H251">
            <v>6117</v>
          </cell>
          <cell r="I251">
            <v>0.12</v>
          </cell>
          <cell r="J251">
            <v>6952</v>
          </cell>
          <cell r="K251">
            <v>0.1</v>
          </cell>
          <cell r="L251">
            <v>6797</v>
          </cell>
        </row>
        <row r="252">
          <cell r="C252">
            <v>8020022650</v>
          </cell>
          <cell r="D252" t="str">
            <v>90°弯头印尼(日标)PVC-U管件(D排水系列)灰色 DN75 (3") 联塑</v>
          </cell>
          <cell r="E252" t="str">
            <v>JIS PVC-U 90° Elbow (D - DT) DN75 (3") Grey - LESSO</v>
          </cell>
          <cell r="F252">
            <v>1</v>
          </cell>
          <cell r="G252">
            <v>8522</v>
          </cell>
          <cell r="H252">
            <v>7678</v>
          </cell>
          <cell r="I252">
            <v>0.12</v>
          </cell>
          <cell r="J252">
            <v>8725</v>
          </cell>
          <cell r="K252">
            <v>0.1</v>
          </cell>
          <cell r="L252">
            <v>8532</v>
          </cell>
        </row>
        <row r="253">
          <cell r="C253">
            <v>8020022806</v>
          </cell>
          <cell r="D253" t="str">
            <v>90°弯头印尼(日标)PVC-U管件(D排水系列)灰色 DN100 (4") 联塑</v>
          </cell>
          <cell r="E253" t="str">
            <v>JIS PVC-U 90° Elbow (D - DT) DN100 (4") Grey - LESSO</v>
          </cell>
          <cell r="F253">
            <v>1</v>
          </cell>
          <cell r="G253">
            <v>16886</v>
          </cell>
          <cell r="H253">
            <v>15213</v>
          </cell>
          <cell r="I253">
            <v>0.12</v>
          </cell>
          <cell r="J253">
            <v>17288</v>
          </cell>
          <cell r="K253">
            <v>0.1</v>
          </cell>
          <cell r="L253">
            <v>16904</v>
          </cell>
        </row>
        <row r="254">
          <cell r="C254">
            <v>8020026128</v>
          </cell>
          <cell r="D254" t="str">
            <v>90°弯头印尼(日标)PVC-U管件(D排水系列)灰色 DN125 (5") 联塑</v>
          </cell>
          <cell r="E254" t="str">
            <v>JIS PVC-U 90° Elbow (D - DT) DN125 (5") Grey - LESSO</v>
          </cell>
          <cell r="F254">
            <v>1</v>
          </cell>
          <cell r="G254">
            <v>40631</v>
          </cell>
          <cell r="H254">
            <v>36605</v>
          </cell>
          <cell r="I254">
            <v>0.12</v>
          </cell>
          <cell r="J254">
            <v>41597</v>
          </cell>
          <cell r="K254">
            <v>0.1</v>
          </cell>
          <cell r="L254">
            <v>40673</v>
          </cell>
        </row>
        <row r="255">
          <cell r="C255">
            <v>8020022807</v>
          </cell>
          <cell r="D255" t="str">
            <v>90°弯头印尼(日标)PVC-U管件(D排水系列)灰色 DN150 (6") 联塑</v>
          </cell>
          <cell r="E255" t="str">
            <v>JIS PVC-U 90° Elbow (D - DT) DN150 (6") Grey - LESSO</v>
          </cell>
          <cell r="F255">
            <v>1</v>
          </cell>
          <cell r="G255">
            <v>56525</v>
          </cell>
          <cell r="H255">
            <v>50924</v>
          </cell>
          <cell r="I255">
            <v>0.12</v>
          </cell>
          <cell r="J255">
            <v>57869</v>
          </cell>
          <cell r="K255">
            <v>0.1</v>
          </cell>
          <cell r="L255">
            <v>56583</v>
          </cell>
        </row>
        <row r="256">
          <cell r="C256">
            <v>8020026144</v>
          </cell>
          <cell r="D256" t="str">
            <v>90°弯头印尼(日标)PVC-U管件(D排水系列)灰色 DN200 (8") 联塑</v>
          </cell>
          <cell r="E256" t="str">
            <v>JIS PVC-U 90" Elbow (D - DT) DN200 (8") Grey - LESSO</v>
          </cell>
          <cell r="F256">
            <v>1</v>
          </cell>
          <cell r="G256">
            <v>133931</v>
          </cell>
          <cell r="H256">
            <v>120659</v>
          </cell>
          <cell r="I256">
            <v>0.12</v>
          </cell>
          <cell r="J256">
            <v>137113</v>
          </cell>
          <cell r="K256">
            <v>0.1</v>
          </cell>
          <cell r="L256">
            <v>134066</v>
          </cell>
        </row>
        <row r="257">
          <cell r="C257">
            <v>8020026145</v>
          </cell>
          <cell r="D257" t="str">
            <v>90°弯头印尼(日标)PVC-U管件(D排水系列)灰色 DN250 (10") 联塑</v>
          </cell>
          <cell r="E257" t="str">
            <v>JIS PVC-U 90" Elbow (D - DT) DN250 (10") Grey - LESSO</v>
          </cell>
          <cell r="F257">
            <v>1</v>
          </cell>
          <cell r="G257">
            <v>193221</v>
          </cell>
          <cell r="H257">
            <v>174073</v>
          </cell>
          <cell r="I257">
            <v>0.12</v>
          </cell>
          <cell r="J257">
            <v>197811</v>
          </cell>
          <cell r="K257">
            <v>0.1</v>
          </cell>
          <cell r="L257">
            <v>193415</v>
          </cell>
        </row>
        <row r="258">
          <cell r="C258">
            <v>8020026146</v>
          </cell>
          <cell r="D258" t="str">
            <v>90°弯头印尼(日标)PVC-U管件(D排水系列)灰色 DN300 (12") 联塑</v>
          </cell>
          <cell r="E258" t="str">
            <v>JIS PVC-U 90" Elbow (D - DT) DN300 (12") Grey - LESSO</v>
          </cell>
          <cell r="F258">
            <v>1</v>
          </cell>
          <cell r="G258">
            <v>285919</v>
          </cell>
          <cell r="H258">
            <v>257585</v>
          </cell>
          <cell r="I258">
            <v>0.12</v>
          </cell>
          <cell r="J258">
            <v>292711</v>
          </cell>
          <cell r="K258">
            <v>0.1</v>
          </cell>
          <cell r="L258">
            <v>286206</v>
          </cell>
        </row>
        <row r="259">
          <cell r="C259">
            <v>8020022759</v>
          </cell>
          <cell r="D259" t="str">
            <v>90°顺水弯头印尼(日标)PVC-U管件(D排水系列)灰色 DN35 (1-1/4") 联塑</v>
          </cell>
          <cell r="E259" t="str">
            <v>JIS PVC-U Large Radius Elbow (D-DLL) DN35 (1-1/4") Grey - LESSO</v>
          </cell>
          <cell r="F259">
            <v>1</v>
          </cell>
          <cell r="G259">
            <v>3213</v>
          </cell>
          <cell r="H259">
            <v>2895</v>
          </cell>
          <cell r="I259">
            <v>0.12</v>
          </cell>
          <cell r="J259">
            <v>3290</v>
          </cell>
          <cell r="K259">
            <v>0.1</v>
          </cell>
          <cell r="L259">
            <v>3217</v>
          </cell>
        </row>
        <row r="260">
          <cell r="C260">
            <v>8020022649</v>
          </cell>
          <cell r="D260" t="str">
            <v>90°顺水弯头印尼(日标)PVC-U管件(D排水系列)灰色 DN50 (2") (2") 联塑</v>
          </cell>
          <cell r="E260" t="str">
            <v>JIS PVC-U Large Radius Elbow (D-DLL) DN50 (2") (2") Grey - LESSO</v>
          </cell>
          <cell r="F260">
            <v>1</v>
          </cell>
          <cell r="G260">
            <v>6841</v>
          </cell>
          <cell r="H260">
            <v>6164</v>
          </cell>
          <cell r="I260">
            <v>0.12</v>
          </cell>
          <cell r="J260">
            <v>7005</v>
          </cell>
          <cell r="K260">
            <v>0.1</v>
          </cell>
          <cell r="L260">
            <v>6849</v>
          </cell>
        </row>
        <row r="261">
          <cell r="C261">
            <v>8020022789</v>
          </cell>
          <cell r="D261" t="str">
            <v>90°顺水弯头印尼(日标)PVC-U管件(D排水系列)灰色 DN75 (3") 联塑</v>
          </cell>
          <cell r="E261" t="str">
            <v>JIS PVC-U Large Radius Elbow (D-DLL) DN75 (3") Grey - LESSO</v>
          </cell>
          <cell r="F261">
            <v>1</v>
          </cell>
          <cell r="G261">
            <v>15301</v>
          </cell>
          <cell r="H261">
            <v>13785</v>
          </cell>
          <cell r="I261">
            <v>0.12</v>
          </cell>
          <cell r="J261">
            <v>15665</v>
          </cell>
          <cell r="K261">
            <v>0.1</v>
          </cell>
          <cell r="L261">
            <v>15317</v>
          </cell>
        </row>
        <row r="262">
          <cell r="C262">
            <v>8020022744</v>
          </cell>
          <cell r="D262" t="str">
            <v>90°顺水弯头印尼(日标)PVC-U管件(D排水系列)灰色 DN100 (4") 联塑</v>
          </cell>
          <cell r="E262" t="str">
            <v>JIS PVC-U Large Radius Elbow (D-DLL) DN100 (4") Grey - LESSO</v>
          </cell>
          <cell r="F262">
            <v>1</v>
          </cell>
          <cell r="G262">
            <v>31538</v>
          </cell>
          <cell r="H262">
            <v>28413</v>
          </cell>
          <cell r="I262">
            <v>0.12</v>
          </cell>
          <cell r="J262">
            <v>32288</v>
          </cell>
          <cell r="K262">
            <v>0.1</v>
          </cell>
          <cell r="L262">
            <v>31570</v>
          </cell>
        </row>
        <row r="263">
          <cell r="C263">
            <v>8020022745</v>
          </cell>
          <cell r="D263" t="str">
            <v>90°顺水弯头印尼(日标)PVC-U管件(D排水系列)灰色 DN150 (6") 联塑</v>
          </cell>
          <cell r="E263" t="str">
            <v>JIS PVC-U Large Radius Elbow (D-DLL) DN150 (6") Grey - LESSO</v>
          </cell>
          <cell r="F263">
            <v>1</v>
          </cell>
          <cell r="G263">
            <v>95649</v>
          </cell>
          <cell r="H263">
            <v>86171</v>
          </cell>
          <cell r="I263">
            <v>0.12</v>
          </cell>
          <cell r="J263">
            <v>97922</v>
          </cell>
          <cell r="K263">
            <v>0.1</v>
          </cell>
          <cell r="L263">
            <v>95746</v>
          </cell>
        </row>
        <row r="264">
          <cell r="C264">
            <v>8020022651</v>
          </cell>
          <cell r="D264" t="str">
            <v>短型顺水三通印尼(日标)PVC-U管件(D排水系列)灰色 DN35 (1-1/4") 联塑</v>
          </cell>
          <cell r="E264" t="str">
            <v>JIS PVC-U Tee (D - DT) DN35 (1-1/4") Grey - LESSO</v>
          </cell>
          <cell r="F264">
            <v>1</v>
          </cell>
          <cell r="G264">
            <v>2728</v>
          </cell>
          <cell r="H264">
            <v>2458</v>
          </cell>
          <cell r="I264">
            <v>0.12</v>
          </cell>
          <cell r="J264">
            <v>2794</v>
          </cell>
          <cell r="K264">
            <v>0.1</v>
          </cell>
          <cell r="L264">
            <v>2732</v>
          </cell>
        </row>
        <row r="265">
          <cell r="C265">
            <v>8020022652</v>
          </cell>
          <cell r="D265" t="str">
            <v>短型顺水三通印尼(日标)PVC-U管件(D排水系列)灰色 DN40 (1-1/2") 联塑</v>
          </cell>
          <cell r="E265" t="str">
            <v>JIS PVC-U Tee (D - DT) DN40 (1-1/2") Grey - LESSO</v>
          </cell>
          <cell r="F265">
            <v>1</v>
          </cell>
          <cell r="G265">
            <v>3780</v>
          </cell>
          <cell r="H265">
            <v>3406</v>
          </cell>
          <cell r="I265">
            <v>0.12</v>
          </cell>
          <cell r="J265">
            <v>3871</v>
          </cell>
          <cell r="K265">
            <v>0.1</v>
          </cell>
          <cell r="L265">
            <v>3785</v>
          </cell>
        </row>
        <row r="266">
          <cell r="C266">
            <v>8020022784</v>
          </cell>
          <cell r="D266" t="str">
            <v>短型顺水三通印尼(日标)PVC-U管件(D排水系列)灰色 DN50 (2") 联塑</v>
          </cell>
          <cell r="E266" t="str">
            <v>JIS PVC-U Tee (D - DT) DN50 (2") Grey - LESSO</v>
          </cell>
          <cell r="F266">
            <v>1</v>
          </cell>
          <cell r="G266">
            <v>4863</v>
          </cell>
          <cell r="H266">
            <v>4382</v>
          </cell>
          <cell r="I266">
            <v>0.12</v>
          </cell>
          <cell r="J266">
            <v>4980</v>
          </cell>
          <cell r="K266">
            <v>0.1</v>
          </cell>
          <cell r="L266">
            <v>4869</v>
          </cell>
        </row>
        <row r="267">
          <cell r="C267">
            <v>8020022628</v>
          </cell>
          <cell r="D267" t="str">
            <v>短型顺水三通印尼(日标)PVC-U管件(D排水系列)灰色 DN65 (2-1/2") 联塑</v>
          </cell>
          <cell r="E267" t="str">
            <v>JIS PVC-U Tee (D - DT) DN65 (2-1/2") Grey - LESSO</v>
          </cell>
          <cell r="F267">
            <v>1</v>
          </cell>
          <cell r="G267">
            <v>10063</v>
          </cell>
          <cell r="H267">
            <v>9066</v>
          </cell>
          <cell r="I267">
            <v>0.12</v>
          </cell>
          <cell r="J267">
            <v>10303</v>
          </cell>
          <cell r="K267">
            <v>0.1</v>
          </cell>
          <cell r="L267">
            <v>10074</v>
          </cell>
        </row>
        <row r="268">
          <cell r="C268">
            <v>8020022761</v>
          </cell>
          <cell r="D268" t="str">
            <v>短型顺水三通印尼(日标)PVC-U管件(D排水系列)灰色 DN75 (3") 联塑</v>
          </cell>
          <cell r="E268" t="str">
            <v>JIS PVC-U Tee (D - DT) DN75 (3") Grey - LESSO</v>
          </cell>
          <cell r="F268">
            <v>1</v>
          </cell>
          <cell r="G268">
            <v>13017</v>
          </cell>
          <cell r="H268">
            <v>11728</v>
          </cell>
          <cell r="I268">
            <v>0.12</v>
          </cell>
          <cell r="J268">
            <v>13328</v>
          </cell>
          <cell r="K268">
            <v>0.1</v>
          </cell>
          <cell r="L268">
            <v>13032</v>
          </cell>
        </row>
        <row r="269">
          <cell r="C269">
            <v>8020022653</v>
          </cell>
          <cell r="D269" t="str">
            <v>短型顺水三通印尼(日标)PVC-U管件(D排水系列)灰色 DN100 (4") 联塑</v>
          </cell>
          <cell r="E269" t="str">
            <v>JIS PVC-U Tee (D - DT) DN100 (4") Grey - LESSO</v>
          </cell>
          <cell r="F269">
            <v>1</v>
          </cell>
          <cell r="G269">
            <v>22217</v>
          </cell>
          <cell r="H269">
            <v>20016</v>
          </cell>
          <cell r="I269">
            <v>0.12</v>
          </cell>
          <cell r="J269">
            <v>22746</v>
          </cell>
          <cell r="K269">
            <v>0.1</v>
          </cell>
          <cell r="L269">
            <v>22240</v>
          </cell>
        </row>
        <row r="270">
          <cell r="C270">
            <v>8020026063</v>
          </cell>
          <cell r="D270" t="str">
            <v>短型顺水三通印尼(日标)PVC-U管件(D排水系列)灰色 DN125 (5") 联塑</v>
          </cell>
          <cell r="E270" t="str">
            <v>JIS PVC-U Tee (D - DT) DN125 (5") Grey - LESSO</v>
          </cell>
          <cell r="F270">
            <v>1</v>
          </cell>
          <cell r="G270">
            <v>47192</v>
          </cell>
          <cell r="H270">
            <v>42516</v>
          </cell>
          <cell r="I270">
            <v>0.12</v>
          </cell>
          <cell r="J270">
            <v>48314</v>
          </cell>
          <cell r="K270">
            <v>0.1</v>
          </cell>
          <cell r="L270">
            <v>47240</v>
          </cell>
        </row>
        <row r="271">
          <cell r="C271">
            <v>8020022638</v>
          </cell>
          <cell r="D271" t="str">
            <v>短型顺水三通印尼(日标)PVC-U管件(D排水系列)灰色 DN150 (6") 联塑</v>
          </cell>
          <cell r="E271" t="str">
            <v>JIS PVC-U Tee (D - DT) DN150 (6") Grey - LESSO</v>
          </cell>
          <cell r="F271">
            <v>1</v>
          </cell>
          <cell r="G271">
            <v>77887</v>
          </cell>
          <cell r="H271">
            <v>70169</v>
          </cell>
          <cell r="I271">
            <v>0.12</v>
          </cell>
          <cell r="J271">
            <v>79738</v>
          </cell>
          <cell r="K271">
            <v>0.1</v>
          </cell>
          <cell r="L271">
            <v>77966</v>
          </cell>
        </row>
        <row r="272">
          <cell r="C272">
            <v>8020026147</v>
          </cell>
          <cell r="D272" t="str">
            <v>短型顺水三通印尼(日标)PVC-U管件(D排水系列)灰色 DN200 (8") 联塑</v>
          </cell>
          <cell r="E272" t="str">
            <v>JIS PVC-U Tee (D - DT) DN200 (8") Grey - LESSO</v>
          </cell>
          <cell r="F272">
            <v>1</v>
          </cell>
          <cell r="G272">
            <v>162522</v>
          </cell>
          <cell r="H272">
            <v>146417</v>
          </cell>
          <cell r="I272">
            <v>0.12</v>
          </cell>
          <cell r="J272">
            <v>166383</v>
          </cell>
          <cell r="K272">
            <v>0.1</v>
          </cell>
          <cell r="L272">
            <v>162686</v>
          </cell>
        </row>
        <row r="273">
          <cell r="C273">
            <v>8020026148</v>
          </cell>
          <cell r="D273" t="str">
            <v>短型顺水三通印尼(日标)PVC-U管件(D排水系列)灰色 DN250 (10") 联塑</v>
          </cell>
          <cell r="E273" t="str">
            <v>JIS PVC-U Tee (D - DT) DN250 (10") Grey - LESSO</v>
          </cell>
          <cell r="F273">
            <v>1</v>
          </cell>
          <cell r="G273">
            <v>259133</v>
          </cell>
          <cell r="H273">
            <v>233454</v>
          </cell>
          <cell r="I273">
            <v>0.12</v>
          </cell>
          <cell r="J273">
            <v>265289</v>
          </cell>
          <cell r="K273">
            <v>0.1</v>
          </cell>
          <cell r="L273">
            <v>259394</v>
          </cell>
        </row>
        <row r="274">
          <cell r="C274">
            <v>8020026176</v>
          </cell>
          <cell r="D274" t="str">
            <v>短型顺水三通印尼(日标)PVC-U管件(D排水系列)灰色 DN300 (12") 联塑</v>
          </cell>
          <cell r="E274" t="str">
            <v>JIS PVC-U Tee (D - DT) DN300 (12") Grey - LESSO</v>
          </cell>
          <cell r="F274">
            <v>1</v>
          </cell>
          <cell r="G274">
            <v>380123</v>
          </cell>
          <cell r="H274">
            <v>342454</v>
          </cell>
          <cell r="I274">
            <v>0.12</v>
          </cell>
          <cell r="J274">
            <v>389153</v>
          </cell>
          <cell r="K274">
            <v>0.1</v>
          </cell>
          <cell r="L274">
            <v>380505</v>
          </cell>
        </row>
        <row r="275">
          <cell r="C275">
            <v>8020022747</v>
          </cell>
          <cell r="D275" t="str">
            <v>短型异径顺水三通印尼(日标)PVC-U管件(D排水系列)灰色 DN75x40 (3"x1-1/2") 联塑</v>
          </cell>
          <cell r="E275" t="str">
            <v>JIS PVC-U Reducing Tee (D - DT) DN75x40 (3"x1-1/2") Grey - LESSO</v>
          </cell>
          <cell r="F275">
            <v>1</v>
          </cell>
          <cell r="G275">
            <v>9961</v>
          </cell>
          <cell r="H275">
            <v>8974</v>
          </cell>
          <cell r="I275">
            <v>0.12</v>
          </cell>
          <cell r="J275">
            <v>10198</v>
          </cell>
          <cell r="K275">
            <v>0.1</v>
          </cell>
          <cell r="L275">
            <v>9972</v>
          </cell>
        </row>
        <row r="276">
          <cell r="C276">
            <v>8020022762</v>
          </cell>
          <cell r="D276" t="str">
            <v>短型异径顺水三通印尼(日标)PVC-U管件(D排水系列)灰色 DN75x50 (3"x2") 联塑</v>
          </cell>
          <cell r="E276" t="str">
            <v>JIS PVC-U Reducing Tee (D - DT) DN75x50 (3"x2") Grey - LESSO</v>
          </cell>
          <cell r="F276">
            <v>1</v>
          </cell>
          <cell r="G276">
            <v>11521</v>
          </cell>
          <cell r="H276">
            <v>10380</v>
          </cell>
          <cell r="I276">
            <v>0.12</v>
          </cell>
          <cell r="J276">
            <v>11796</v>
          </cell>
          <cell r="K276">
            <v>0.1</v>
          </cell>
          <cell r="L276">
            <v>11534</v>
          </cell>
        </row>
        <row r="277">
          <cell r="C277">
            <v>8020022763</v>
          </cell>
          <cell r="D277" t="str">
            <v>短型异径顺水三通印尼(日标)PVC-U管件(D排水系列)灰色 DN75x65 (3"x2-1/2") 联塑</v>
          </cell>
          <cell r="E277" t="str">
            <v>JIS PVC-U Reducing Tee (D - DT) DN75x65 (3"x2-1/2") Grey - LESSO</v>
          </cell>
          <cell r="F277">
            <v>1</v>
          </cell>
          <cell r="G277">
            <v>12912</v>
          </cell>
          <cell r="H277">
            <v>11633</v>
          </cell>
          <cell r="I277">
            <v>0.12</v>
          </cell>
          <cell r="J277">
            <v>13220</v>
          </cell>
          <cell r="K277">
            <v>0.1</v>
          </cell>
          <cell r="L277">
            <v>12926</v>
          </cell>
        </row>
        <row r="278">
          <cell r="C278">
            <v>8020022823</v>
          </cell>
          <cell r="D278" t="str">
            <v>短型异径顺水三通印尼(日标)PVC-U管件(D排水系列)灰色 DN100x50 (4"x2") 联塑</v>
          </cell>
          <cell r="E278" t="str">
            <v>JIS PVC-U Reducing Tee (D - DT) DN100x50 (4"x2") Grey - LESSO</v>
          </cell>
          <cell r="F278">
            <v>1</v>
          </cell>
          <cell r="G278">
            <v>18828</v>
          </cell>
          <cell r="H278">
            <v>16963</v>
          </cell>
          <cell r="I278">
            <v>0.12</v>
          </cell>
          <cell r="J278">
            <v>19277</v>
          </cell>
          <cell r="K278">
            <v>0.1</v>
          </cell>
          <cell r="L278">
            <v>18848</v>
          </cell>
        </row>
        <row r="279">
          <cell r="C279">
            <v>8020022815</v>
          </cell>
          <cell r="D279" t="str">
            <v>短型异径顺水三通印尼(日标)PVC-U管件(D排水系列)灰色 DN100x75 (4"x3") 联塑</v>
          </cell>
          <cell r="E279" t="str">
            <v>JIS PVC-U Reducing Tee (D - DT) DN100x75 (4"x3") Grey - LESSO</v>
          </cell>
          <cell r="F279">
            <v>1</v>
          </cell>
          <cell r="G279">
            <v>22094</v>
          </cell>
          <cell r="H279">
            <v>19905</v>
          </cell>
          <cell r="I279">
            <v>0.12</v>
          </cell>
          <cell r="J279">
            <v>22620</v>
          </cell>
          <cell r="K279">
            <v>0.1</v>
          </cell>
          <cell r="L279">
            <v>22117</v>
          </cell>
        </row>
        <row r="280">
          <cell r="C280">
            <v>8020022847</v>
          </cell>
          <cell r="D280" t="str">
            <v>短型异径顺水三通印尼(日标)PVC-U管件(D排水系列)灰色 DN150x100 (6"x4") 联塑</v>
          </cell>
          <cell r="E280" t="str">
            <v>JIS PVC-U Reducing Tee (D - DT) DN150x100 (6"x4") Grey - LESSO</v>
          </cell>
          <cell r="F280">
            <v>1</v>
          </cell>
          <cell r="G280">
            <v>60344</v>
          </cell>
          <cell r="H280">
            <v>54364</v>
          </cell>
          <cell r="I280">
            <v>0.12</v>
          </cell>
          <cell r="J280">
            <v>61778</v>
          </cell>
          <cell r="K280">
            <v>0.1</v>
          </cell>
          <cell r="L280">
            <v>60405</v>
          </cell>
        </row>
        <row r="281">
          <cell r="C281">
            <v>8020025899</v>
          </cell>
          <cell r="D281" t="str">
            <v>短型异径顺水三通印尼(日标)PVC-U管件(D排水系列)灰色 DN200x150 (8"x6") 联塑</v>
          </cell>
          <cell r="E281" t="str">
            <v>JIS PVC-U Reducing Tee (D - DT) DN200x150 (8"x6") Grey - LESSO</v>
          </cell>
          <cell r="F281">
            <v>1</v>
          </cell>
          <cell r="G281">
            <v>138145</v>
          </cell>
          <cell r="H281">
            <v>124455</v>
          </cell>
          <cell r="I281">
            <v>0.12</v>
          </cell>
          <cell r="J281">
            <v>141427</v>
          </cell>
          <cell r="K281">
            <v>0.1</v>
          </cell>
          <cell r="L281">
            <v>138284</v>
          </cell>
        </row>
        <row r="282">
          <cell r="C282">
            <v>8020026149</v>
          </cell>
          <cell r="D282" t="str">
            <v>短型异径顺水三通印尼(日标)PVC-U管件(D排水系列)灰色 DN250x200 (10"x8") 联塑</v>
          </cell>
          <cell r="E282" t="str">
            <v>JIS PVC-U Reducing Tee (D - DT) DN250x200 (10"x8") Grey - LESSO</v>
          </cell>
          <cell r="F282">
            <v>1</v>
          </cell>
          <cell r="G282">
            <v>221513</v>
          </cell>
          <cell r="H282">
            <v>199562</v>
          </cell>
          <cell r="I282">
            <v>0.12</v>
          </cell>
          <cell r="J282">
            <v>226775</v>
          </cell>
          <cell r="K282">
            <v>0.1</v>
          </cell>
          <cell r="L282">
            <v>221736</v>
          </cell>
        </row>
        <row r="283">
          <cell r="C283">
            <v>8020026150</v>
          </cell>
          <cell r="D283" t="str">
            <v>短型异径顺水三通印尼(日标)PVC-U管件(D排水系列)灰色 DN300x250 (12"x10") 联塑</v>
          </cell>
          <cell r="E283" t="str">
            <v>JIS PVC-U Reducing Tee (D - DT) DN300x250 (12"x10") Grey - LESSO</v>
          </cell>
          <cell r="F283">
            <v>1</v>
          </cell>
          <cell r="G283">
            <v>329861</v>
          </cell>
          <cell r="H283">
            <v>297173</v>
          </cell>
          <cell r="I283">
            <v>0.12</v>
          </cell>
          <cell r="J283">
            <v>337697</v>
          </cell>
          <cell r="K283">
            <v>0.1</v>
          </cell>
          <cell r="L283">
            <v>330193</v>
          </cell>
        </row>
        <row r="284">
          <cell r="C284">
            <v>80516487</v>
          </cell>
          <cell r="D284" t="str">
            <v>短型异径顺水三通印尼(日标) PVC-U管件(D排水系列) DN200x100 (8"x4") - RUCIKA</v>
          </cell>
          <cell r="E284" t="str">
            <v>JIS PVC-U TEE (D - DT) DN200x100 (8"x4") - RUCIKA</v>
          </cell>
          <cell r="F284">
            <v>1</v>
          </cell>
          <cell r="G284">
            <v>0</v>
          </cell>
          <cell r="H284">
            <v>0</v>
          </cell>
          <cell r="I284">
            <v>0.15</v>
          </cell>
          <cell r="J284">
            <v>0</v>
          </cell>
          <cell r="K284">
            <v>0.15</v>
          </cell>
          <cell r="L284">
            <v>0</v>
          </cell>
        </row>
        <row r="285">
          <cell r="C285">
            <v>8020022629</v>
          </cell>
          <cell r="D285" t="str">
            <v>顺水三通印尼(日标)PVC-U管件(D排水系列)灰色 DN40 (1-1/2") 联塑</v>
          </cell>
          <cell r="E285" t="str">
            <v>JIS PVC-U Large Radius Tee (D - LT) DN40 (1-1/2") Grey - LESSO</v>
          </cell>
          <cell r="F285">
            <v>1</v>
          </cell>
          <cell r="G285">
            <v>4801</v>
          </cell>
          <cell r="H285">
            <v>4326</v>
          </cell>
          <cell r="I285">
            <v>0.12</v>
          </cell>
          <cell r="J285">
            <v>4916</v>
          </cell>
          <cell r="K285">
            <v>0.1</v>
          </cell>
          <cell r="L285">
            <v>4807</v>
          </cell>
        </row>
        <row r="286">
          <cell r="C286">
            <v>8020022748</v>
          </cell>
          <cell r="D286" t="str">
            <v>顺水三通印尼(日标)PVC-U管件(D排水系列)灰色 DN50 (2") 联塑</v>
          </cell>
          <cell r="E286" t="str">
            <v>JIS PVC-U Large Radius Tee (D - LT) DN50 (2") Grey - LESSO</v>
          </cell>
          <cell r="F286">
            <v>1</v>
          </cell>
          <cell r="G286">
            <v>9361</v>
          </cell>
          <cell r="H286">
            <v>8434</v>
          </cell>
          <cell r="I286">
            <v>0.12</v>
          </cell>
          <cell r="J286">
            <v>9585</v>
          </cell>
          <cell r="K286">
            <v>0.1</v>
          </cell>
          <cell r="L286">
            <v>9372</v>
          </cell>
        </row>
        <row r="287">
          <cell r="C287">
            <v>8020022846</v>
          </cell>
          <cell r="D287" t="str">
            <v>顺水三通印尼(日标)PVC-U管件(D排水系列)灰色 DN65 (2-1/2") 联塑</v>
          </cell>
          <cell r="E287" t="str">
            <v>JIS PVC-U Large Radius Tee (D - LT) DN65 (2-1/2") Grey - LESSO</v>
          </cell>
          <cell r="F287">
            <v>1</v>
          </cell>
          <cell r="G287">
            <v>14730</v>
          </cell>
          <cell r="H287">
            <v>13271</v>
          </cell>
          <cell r="I287">
            <v>0.12</v>
          </cell>
          <cell r="J287">
            <v>15081</v>
          </cell>
          <cell r="K287">
            <v>0.1</v>
          </cell>
          <cell r="L287">
            <v>14746</v>
          </cell>
        </row>
        <row r="288">
          <cell r="C288">
            <v>8020022785</v>
          </cell>
          <cell r="D288" t="str">
            <v>顺水三通印尼(日标)PVC-U管件(D排水系列)灰色 DN75 (3") 联塑</v>
          </cell>
          <cell r="E288" t="str">
            <v>JIS PVC-U Large Radius Tee (D - LT) DN75 (3") Grey - LESSO</v>
          </cell>
          <cell r="F288">
            <v>1</v>
          </cell>
          <cell r="G288">
            <v>20042</v>
          </cell>
          <cell r="H288">
            <v>18056</v>
          </cell>
          <cell r="I288">
            <v>0.12</v>
          </cell>
          <cell r="J288">
            <v>20519</v>
          </cell>
          <cell r="K288">
            <v>0.1</v>
          </cell>
          <cell r="L288">
            <v>20063</v>
          </cell>
        </row>
        <row r="289">
          <cell r="C289">
            <v>8020022764</v>
          </cell>
          <cell r="D289" t="str">
            <v>顺水三通印尼(日标)PVC-U管件(D排水系列)灰色 DN100 (4") 联塑</v>
          </cell>
          <cell r="E289" t="str">
            <v>JIS PVC-U Large Radius Tee (D - LT) DN100 (4") Grey - LESSO</v>
          </cell>
          <cell r="F289">
            <v>1</v>
          </cell>
          <cell r="G289">
            <v>36408</v>
          </cell>
          <cell r="H289">
            <v>32800</v>
          </cell>
          <cell r="I289">
            <v>0.12</v>
          </cell>
          <cell r="J289">
            <v>37273</v>
          </cell>
          <cell r="K289">
            <v>0.1</v>
          </cell>
          <cell r="L289">
            <v>36445</v>
          </cell>
        </row>
        <row r="290">
          <cell r="C290">
            <v>8020022881</v>
          </cell>
          <cell r="D290" t="str">
            <v>顺水三通印尼(日标)PVC-U管件(D排水系列)灰色 DN150 (6") 联塑</v>
          </cell>
          <cell r="E290" t="str">
            <v>JIS PVC-U Large Radius Tee (D - LT) DN150 (6") Grey - LESSO</v>
          </cell>
          <cell r="F290">
            <v>1</v>
          </cell>
          <cell r="G290">
            <v>119171</v>
          </cell>
          <cell r="H290">
            <v>107362</v>
          </cell>
          <cell r="I290">
            <v>0.12</v>
          </cell>
          <cell r="J290">
            <v>122003</v>
          </cell>
          <cell r="K290">
            <v>0.1</v>
          </cell>
          <cell r="L290">
            <v>119292</v>
          </cell>
        </row>
        <row r="291">
          <cell r="C291">
            <v>8020022765</v>
          </cell>
          <cell r="D291" t="str">
            <v>异径顺水三通印尼(日标)PVC-U管件(D排水系列)灰色 DN40x35 (1-1/2"x1-1/4") 联塑</v>
          </cell>
          <cell r="E291" t="str">
            <v>JIS PVC-U Large Radius Tee (D - LT) DN40x35 (1-1/2"x1-1/4") Grey - LESSO</v>
          </cell>
          <cell r="F291">
            <v>1</v>
          </cell>
          <cell r="G291">
            <v>4789</v>
          </cell>
          <cell r="H291">
            <v>4315</v>
          </cell>
          <cell r="I291">
            <v>0.12</v>
          </cell>
          <cell r="J291">
            <v>4904</v>
          </cell>
          <cell r="K291">
            <v>0.1</v>
          </cell>
          <cell r="L291">
            <v>4795</v>
          </cell>
        </row>
        <row r="292">
          <cell r="C292">
            <v>8020022787</v>
          </cell>
          <cell r="D292" t="str">
            <v>异径顺水三通印尼(日标)PVC-U管件(D排水系列)灰色 DN65x40 (2-1/2"x1-1/2") 联塑</v>
          </cell>
          <cell r="E292" t="str">
            <v>JIS PVC-U Large Radius Tee (D - LT) DN65x40 (2-1/2"x1-1/2") Grey - LESSO</v>
          </cell>
          <cell r="F292">
            <v>1</v>
          </cell>
          <cell r="G292">
            <v>9541</v>
          </cell>
          <cell r="H292">
            <v>8596</v>
          </cell>
          <cell r="I292">
            <v>0.12</v>
          </cell>
          <cell r="J292">
            <v>9769</v>
          </cell>
          <cell r="K292">
            <v>0.1</v>
          </cell>
          <cell r="L292">
            <v>9552</v>
          </cell>
        </row>
        <row r="293">
          <cell r="C293">
            <v>8020022655</v>
          </cell>
          <cell r="D293" t="str">
            <v>异径顺水三通印尼(日标)PVC-U管件(D排水系列)灰色 DN100x50 (4"x2") 联塑</v>
          </cell>
          <cell r="E293" t="str">
            <v>JIS PVC-U Large Radius Tee (D - LT) DN100x50 (4"x2") Grey - LESSO</v>
          </cell>
          <cell r="F293">
            <v>1</v>
          </cell>
          <cell r="G293">
            <v>23282</v>
          </cell>
          <cell r="H293">
            <v>20975</v>
          </cell>
          <cell r="I293">
            <v>0.12</v>
          </cell>
          <cell r="J293">
            <v>23836</v>
          </cell>
          <cell r="K293">
            <v>0.1</v>
          </cell>
          <cell r="L293">
            <v>23306</v>
          </cell>
        </row>
        <row r="294">
          <cell r="C294">
            <v>8020022656</v>
          </cell>
          <cell r="D294" t="str">
            <v>异径顺水三通印尼(日标)PVC-U管件(D排水系列)灰色 DN100x75 (4"x3") 联塑</v>
          </cell>
          <cell r="E294" t="str">
            <v>JIS PVC-U Large Radius Tee (D - LT) DN100x75 (4"x3") Grey - LESSO</v>
          </cell>
          <cell r="F294">
            <v>1</v>
          </cell>
          <cell r="G294">
            <v>31835</v>
          </cell>
          <cell r="H294">
            <v>28681</v>
          </cell>
          <cell r="I294">
            <v>0.12</v>
          </cell>
          <cell r="J294">
            <v>32593</v>
          </cell>
          <cell r="K294">
            <v>0.1</v>
          </cell>
          <cell r="L294">
            <v>31868</v>
          </cell>
        </row>
        <row r="295">
          <cell r="C295">
            <v>8020022750</v>
          </cell>
          <cell r="D295" t="str">
            <v>异径顺水三通印尼(日标)PVC-U管件(D排水系列)灰色 DN150x100 (6"x4") 联塑</v>
          </cell>
          <cell r="E295" t="str">
            <v>JIS PVC-U Large Radius Tee (D - LT) DN150x100 (6"x4") Grey - LESSO</v>
          </cell>
          <cell r="F295">
            <v>1</v>
          </cell>
          <cell r="G295">
            <v>80707</v>
          </cell>
          <cell r="H295">
            <v>72710</v>
          </cell>
          <cell r="I295">
            <v>0.12</v>
          </cell>
          <cell r="J295">
            <v>82625</v>
          </cell>
          <cell r="K295">
            <v>0.1</v>
          </cell>
          <cell r="L295">
            <v>80789</v>
          </cell>
        </row>
        <row r="296">
          <cell r="C296">
            <v>8020022786</v>
          </cell>
          <cell r="D296" t="str">
            <v>异径顺水三通印尼(日标)PVC-U管件(D排水系列)灰色 DN50x40 (2"x1-1/2") 联塑</v>
          </cell>
          <cell r="E296" t="str">
            <v>JIS PVC-U Large Radius Tee (D - LT) DN50x40 (2"x1-1/2") Grey - LESSO</v>
          </cell>
          <cell r="F296">
            <v>1</v>
          </cell>
          <cell r="G296">
            <v>6841</v>
          </cell>
          <cell r="H296">
            <v>6164</v>
          </cell>
          <cell r="I296">
            <v>0.12</v>
          </cell>
          <cell r="J296">
            <v>7005</v>
          </cell>
          <cell r="K296">
            <v>0.1</v>
          </cell>
          <cell r="L296">
            <v>6849</v>
          </cell>
        </row>
        <row r="297">
          <cell r="C297">
            <v>8020022766</v>
          </cell>
          <cell r="D297" t="str">
            <v>异径顺水三通印尼(日标)PVC-U管件(D排水系列)灰色 DN65x50 (2-1/2"x2") 联塑</v>
          </cell>
          <cell r="E297" t="str">
            <v>JIS PVC-U Large Radius Tee (D - LT) DN65x50 (2-1/2"x2") Grey - LESSO</v>
          </cell>
          <cell r="F297">
            <v>1</v>
          </cell>
          <cell r="G297">
            <v>11760</v>
          </cell>
          <cell r="H297">
            <v>10595</v>
          </cell>
          <cell r="I297">
            <v>0.12</v>
          </cell>
          <cell r="J297">
            <v>12040</v>
          </cell>
          <cell r="K297">
            <v>0.1</v>
          </cell>
          <cell r="L297">
            <v>11773</v>
          </cell>
        </row>
        <row r="298">
          <cell r="C298">
            <v>8020022749</v>
          </cell>
          <cell r="D298" t="str">
            <v>异径顺水三通印尼(日标)PVC-U管件(D排水系列)灰色 DN75x50 (3"x2") 联塑</v>
          </cell>
          <cell r="E298" t="str">
            <v>JIS PVC-U Large Radius Tee (D - LT) DN75x50 (3"x2") Grey - LESSO</v>
          </cell>
          <cell r="F298">
            <v>1</v>
          </cell>
          <cell r="G298">
            <v>15241</v>
          </cell>
          <cell r="H298">
            <v>13731</v>
          </cell>
          <cell r="I298">
            <v>0.12</v>
          </cell>
          <cell r="J298">
            <v>15604</v>
          </cell>
          <cell r="K298">
            <v>0.1</v>
          </cell>
          <cell r="L298">
            <v>15257</v>
          </cell>
        </row>
        <row r="299">
          <cell r="C299">
            <v>8020022630</v>
          </cell>
          <cell r="D299" t="str">
            <v>异径顺水三通印尼(日标)PVC-U管件(D排水系列)灰色 DN75x65 (3"x2-1/2") 联塑</v>
          </cell>
          <cell r="E299" t="str">
            <v>JIS PVC-U Large Radius Tee (D - LT) DN75x65 (3"x2-1/2") Grey - LESSO</v>
          </cell>
          <cell r="F299">
            <v>1</v>
          </cell>
          <cell r="G299">
            <v>19883</v>
          </cell>
          <cell r="H299">
            <v>17913</v>
          </cell>
          <cell r="I299">
            <v>0.12</v>
          </cell>
          <cell r="J299">
            <v>20356</v>
          </cell>
          <cell r="K299">
            <v>0.1</v>
          </cell>
          <cell r="L299">
            <v>19904</v>
          </cell>
        </row>
        <row r="300">
          <cell r="C300">
            <v>80516523</v>
          </cell>
          <cell r="D300" t="str">
            <v>异径顺水三通印尼(日标) PVC-U管件(D排水系列) DN200x150 (8"x6") - RUCIKA</v>
          </cell>
          <cell r="E300" t="str">
            <v>JIS PVC-U Large Radius Tee (D) DN200x150 (8"x6") - RUCIKA</v>
          </cell>
          <cell r="F300">
            <v>1</v>
          </cell>
          <cell r="G300">
            <v>0</v>
          </cell>
          <cell r="H300">
            <v>0</v>
          </cell>
          <cell r="I300">
            <v>0.15</v>
          </cell>
          <cell r="J300">
            <v>0</v>
          </cell>
          <cell r="K300">
            <v>0.15</v>
          </cell>
          <cell r="L300">
            <v>0</v>
          </cell>
        </row>
        <row r="301">
          <cell r="C301">
            <v>8020022648</v>
          </cell>
          <cell r="D301" t="str">
            <v>45°斜三通印尼(日标)PVC-U管件(D排水系列)灰色 DN40 (1-1/2") 联塑</v>
          </cell>
          <cell r="E301" t="str">
            <v>JIS PVC-U Y Branch (D) DN40 (1-1/2") Grey - LESSO</v>
          </cell>
          <cell r="F301">
            <v>1</v>
          </cell>
          <cell r="G301">
            <v>5400</v>
          </cell>
          <cell r="H301">
            <v>4865</v>
          </cell>
          <cell r="I301">
            <v>0.12</v>
          </cell>
          <cell r="J301">
            <v>5529</v>
          </cell>
          <cell r="K301">
            <v>0.1</v>
          </cell>
          <cell r="L301">
            <v>5406</v>
          </cell>
        </row>
        <row r="302">
          <cell r="C302">
            <v>8020022813</v>
          </cell>
          <cell r="D302" t="str">
            <v>45°斜三通印尼(日标)PVC-U管件(D排水系列)灰色 DN50 (2") 联塑</v>
          </cell>
          <cell r="E302" t="str">
            <v>JIS PVC-U Y Branch (D) DN50 (2") Grey - LESSO</v>
          </cell>
          <cell r="F302">
            <v>1</v>
          </cell>
          <cell r="G302">
            <v>8401</v>
          </cell>
          <cell r="H302">
            <v>7569</v>
          </cell>
          <cell r="I302">
            <v>0.12</v>
          </cell>
          <cell r="J302">
            <v>8602</v>
          </cell>
          <cell r="K302">
            <v>0.1</v>
          </cell>
          <cell r="L302">
            <v>8410</v>
          </cell>
        </row>
        <row r="303">
          <cell r="C303">
            <v>8020022821</v>
          </cell>
          <cell r="D303" t="str">
            <v>45°斜三通印尼(日标)PVC-U管件(D排水系列)灰色 DN75 (3") 联塑</v>
          </cell>
          <cell r="E303" t="str">
            <v>JIS PVC-U Y Branch (D) DN75 (3") Grey - LESSO</v>
          </cell>
          <cell r="F303">
            <v>1</v>
          </cell>
          <cell r="G303">
            <v>18002</v>
          </cell>
          <cell r="H303">
            <v>16219</v>
          </cell>
          <cell r="I303">
            <v>0.12</v>
          </cell>
          <cell r="J303">
            <v>18431</v>
          </cell>
          <cell r="K303">
            <v>0.1</v>
          </cell>
          <cell r="L303">
            <v>18022</v>
          </cell>
        </row>
        <row r="304">
          <cell r="C304">
            <v>8020022790</v>
          </cell>
          <cell r="D304" t="str">
            <v>45°斜三通印尼(日标)PVC-U管件(D排水系列)灰色 DN100 (4") 联塑</v>
          </cell>
          <cell r="E304" t="str">
            <v>JIS PVC-U Y Branch (D) DN100 (4") Grey - LESSO</v>
          </cell>
          <cell r="F304">
            <v>1</v>
          </cell>
          <cell r="G304">
            <v>37061</v>
          </cell>
          <cell r="H304">
            <v>33389</v>
          </cell>
          <cell r="I304">
            <v>0.12</v>
          </cell>
          <cell r="J304">
            <v>37943</v>
          </cell>
          <cell r="K304">
            <v>0.1</v>
          </cell>
          <cell r="L304">
            <v>37099</v>
          </cell>
        </row>
        <row r="305">
          <cell r="C305">
            <v>8020022636</v>
          </cell>
          <cell r="D305" t="str">
            <v>45°斜三通印尼(日标)PVC-U管件(D排水系列)灰色 DN150 (6") 联塑</v>
          </cell>
          <cell r="E305" t="str">
            <v>JIS PVC-U Y Branch (D) DN150 (6") Grey - LESSO</v>
          </cell>
          <cell r="F305">
            <v>1</v>
          </cell>
          <cell r="G305">
            <v>116651</v>
          </cell>
          <cell r="H305">
            <v>105091</v>
          </cell>
          <cell r="I305">
            <v>0.12</v>
          </cell>
          <cell r="J305">
            <v>119422</v>
          </cell>
          <cell r="K305">
            <v>0.1</v>
          </cell>
          <cell r="L305">
            <v>116768</v>
          </cell>
        </row>
        <row r="306">
          <cell r="C306">
            <v>80516536</v>
          </cell>
          <cell r="D306" t="str">
            <v>印尼(日标) PVC-U 45°斜三通(D排水系列) DN65 (2-1/2") - RUCIKA</v>
          </cell>
          <cell r="E306" t="str">
            <v>JIS PVC-U Y Branch (D) DN65 (2-1/2") - RUCIKA</v>
          </cell>
          <cell r="F306">
            <v>1</v>
          </cell>
          <cell r="G306">
            <v>0</v>
          </cell>
          <cell r="H306">
            <v>0</v>
          </cell>
          <cell r="I306">
            <v>0.15</v>
          </cell>
          <cell r="J306">
            <v>0</v>
          </cell>
          <cell r="K306">
            <v>0.15</v>
          </cell>
          <cell r="L306">
            <v>0</v>
          </cell>
        </row>
        <row r="307">
          <cell r="C307">
            <v>8020022814</v>
          </cell>
          <cell r="D307" t="str">
            <v>45°异径斜三通印尼日标PVC-U管件D排水系列灰色 DN40x35 (1-1/2"x1-1/4") 联塑</v>
          </cell>
          <cell r="E307" t="str">
            <v>JIS PVC-U Y Branch (D) DN40x35 (1-1/2"x1-1/4") Grey - LESSO</v>
          </cell>
          <cell r="F307">
            <v>1</v>
          </cell>
          <cell r="G307">
            <v>4607</v>
          </cell>
          <cell r="H307">
            <v>4151</v>
          </cell>
          <cell r="I307">
            <v>0.12</v>
          </cell>
          <cell r="J307">
            <v>4718</v>
          </cell>
          <cell r="K307">
            <v>0.1</v>
          </cell>
          <cell r="L307">
            <v>4613</v>
          </cell>
        </row>
        <row r="308">
          <cell r="C308">
            <v>8020022743</v>
          </cell>
          <cell r="D308" t="str">
            <v>45°异径斜三通印尼(日标)PVC-U管件(D排水系列)灰色 DN50x35 (2"x1-1/4") 联塑</v>
          </cell>
          <cell r="E308" t="str">
            <v>JIS PVC-U Y Branch (D) DN50x35 (2"x1-1/4") Grey - LESSO</v>
          </cell>
          <cell r="F308">
            <v>1</v>
          </cell>
          <cell r="G308">
            <v>5516</v>
          </cell>
          <cell r="H308">
            <v>4970</v>
          </cell>
          <cell r="I308">
            <v>0.12</v>
          </cell>
          <cell r="J308">
            <v>5648</v>
          </cell>
          <cell r="K308">
            <v>0.1</v>
          </cell>
          <cell r="L308">
            <v>5523</v>
          </cell>
        </row>
        <row r="309">
          <cell r="C309">
            <v>8020022940</v>
          </cell>
          <cell r="D309" t="str">
            <v>45°异径斜三通印尼(日标)PVC-U管件(D排水系列)灰色 DN75x50 (3"x2") 联塑</v>
          </cell>
          <cell r="E309" t="str">
            <v>JIS PVC-U Y Branch (D) DN75x50 (3"x2") Grey - LESSO</v>
          </cell>
          <cell r="F309">
            <v>1</v>
          </cell>
          <cell r="G309">
            <v>14702</v>
          </cell>
          <cell r="H309">
            <v>13246</v>
          </cell>
          <cell r="I309">
            <v>0.12</v>
          </cell>
          <cell r="J309">
            <v>15053</v>
          </cell>
          <cell r="K309">
            <v>0.1</v>
          </cell>
          <cell r="L309">
            <v>14718</v>
          </cell>
        </row>
        <row r="310">
          <cell r="C310">
            <v>8020022758</v>
          </cell>
          <cell r="D310" t="str">
            <v>45°异径斜三通印尼(日标)PVC-U管件(D排水系列)灰色 DN100x50 (4"x2") 联塑</v>
          </cell>
          <cell r="E310" t="str">
            <v>JIS PVC-U Y Branch (D) DN100x50 (4"x2") Grey - LESSO</v>
          </cell>
          <cell r="F310">
            <v>1</v>
          </cell>
          <cell r="G310">
            <v>22688</v>
          </cell>
          <cell r="H310">
            <v>20440</v>
          </cell>
          <cell r="I310">
            <v>0.12</v>
          </cell>
          <cell r="J310">
            <v>23228</v>
          </cell>
          <cell r="K310">
            <v>0.1</v>
          </cell>
          <cell r="L310">
            <v>22712</v>
          </cell>
        </row>
        <row r="311">
          <cell r="C311">
            <v>8020022791</v>
          </cell>
          <cell r="D311" t="str">
            <v>45°异径斜三通印尼(日标)PVC-U管件(D排水系列)灰色 DN100x75 (4"x3") 联塑</v>
          </cell>
          <cell r="E311" t="str">
            <v>JIS PVC-U Y Branch (D) DN100x75 (4"x3") Grey - LESSO</v>
          </cell>
          <cell r="F311">
            <v>1</v>
          </cell>
          <cell r="G311">
            <v>31894</v>
          </cell>
          <cell r="H311">
            <v>28734</v>
          </cell>
          <cell r="I311">
            <v>0.12</v>
          </cell>
          <cell r="J311">
            <v>32653</v>
          </cell>
          <cell r="K311">
            <v>0.1</v>
          </cell>
          <cell r="L311">
            <v>31927</v>
          </cell>
        </row>
        <row r="312">
          <cell r="C312">
            <v>8020022637</v>
          </cell>
          <cell r="D312" t="str">
            <v>45°异径斜三通印尼(日标)PVC-U管件(D排水系列)灰色 DN150x100 (6"x4") 联塑</v>
          </cell>
          <cell r="E312" t="str">
            <v>JIS PVC-U Y Branch (D) DN150x100 (6"x4") Grey - LESSO</v>
          </cell>
          <cell r="F312">
            <v>1</v>
          </cell>
          <cell r="G312">
            <v>93848</v>
          </cell>
          <cell r="H312">
            <v>84548</v>
          </cell>
          <cell r="I312">
            <v>0.12</v>
          </cell>
          <cell r="J312">
            <v>96078</v>
          </cell>
          <cell r="K312">
            <v>0.1</v>
          </cell>
          <cell r="L312">
            <v>93943</v>
          </cell>
        </row>
        <row r="313">
          <cell r="C313">
            <v>8020022824</v>
          </cell>
          <cell r="D313" t="str">
            <v>顺水四通印尼(日标)PVC-U管件(D排水系列)灰色 DN100 (4") 联塑</v>
          </cell>
          <cell r="E313" t="str">
            <v>JIS PVC-U Large Radius Double Tee (D-WLT) DN100 (4") Grey - LESSO</v>
          </cell>
          <cell r="F313">
            <v>1</v>
          </cell>
          <cell r="G313">
            <v>58859</v>
          </cell>
          <cell r="H313">
            <v>53027</v>
          </cell>
          <cell r="I313">
            <v>0.12</v>
          </cell>
          <cell r="J313">
            <v>60258</v>
          </cell>
          <cell r="K313">
            <v>0.1</v>
          </cell>
          <cell r="L313">
            <v>58919</v>
          </cell>
        </row>
        <row r="314">
          <cell r="C314">
            <v>8020022631</v>
          </cell>
          <cell r="D314" t="str">
            <v>顺水四通印尼(日标)PVC-U管件(D排水系列)灰色 DN50 (2") 联塑</v>
          </cell>
          <cell r="E314" t="str">
            <v>JIS PVC-U Large Radius Double Tee (D-WLT) DN50 (2") Grey - LESSO</v>
          </cell>
          <cell r="F314">
            <v>1</v>
          </cell>
          <cell r="G314">
            <v>11701</v>
          </cell>
          <cell r="H314">
            <v>10542</v>
          </cell>
          <cell r="I314">
            <v>0.12</v>
          </cell>
          <cell r="J314">
            <v>11980</v>
          </cell>
          <cell r="K314">
            <v>0.1</v>
          </cell>
          <cell r="L314">
            <v>11714</v>
          </cell>
        </row>
        <row r="315">
          <cell r="C315">
            <v>8020022632</v>
          </cell>
          <cell r="D315" t="str">
            <v>顺水四通印尼(日标)PVC-U管件(D排水系列)灰色 DN75x50 (3"x2") 联塑</v>
          </cell>
          <cell r="E315" t="str">
            <v>JIS PVC-U Large Radius Double Tee (D-WLT) DN75x50 (3"x2") Grey - LESSO</v>
          </cell>
          <cell r="F315">
            <v>1</v>
          </cell>
          <cell r="G315">
            <v>17342</v>
          </cell>
          <cell r="H315">
            <v>15624</v>
          </cell>
          <cell r="I315">
            <v>0.12</v>
          </cell>
          <cell r="J315">
            <v>17755</v>
          </cell>
          <cell r="K315">
            <v>0.1</v>
          </cell>
          <cell r="L315">
            <v>17360</v>
          </cell>
        </row>
        <row r="316">
          <cell r="C316">
            <v>8020022917</v>
          </cell>
          <cell r="D316" t="str">
            <v>P型存水弯印尼(日标)PVC-U管件(D排水系列)灰色 DN50 (2") 联塑</v>
          </cell>
          <cell r="E316" t="str">
            <v>JIS PVC-U P-Trap (D) DN50 (2") Grey - LESSO</v>
          </cell>
          <cell r="F316">
            <v>1</v>
          </cell>
          <cell r="G316">
            <v>9841</v>
          </cell>
          <cell r="H316">
            <v>8866</v>
          </cell>
          <cell r="I316">
            <v>0.12</v>
          </cell>
          <cell r="J316">
            <v>10075</v>
          </cell>
          <cell r="K316">
            <v>0.1</v>
          </cell>
          <cell r="L316">
            <v>9852</v>
          </cell>
        </row>
        <row r="317">
          <cell r="C317">
            <v>80516490</v>
          </cell>
          <cell r="D317" t="str">
            <v>P型存水弯印尼(日标) PVC-U管件(D排水系列) DN50 (2") - RUCIKA</v>
          </cell>
          <cell r="E317" t="str">
            <v>JIS PVC-U P Trap (D) DN50 (2") - RUCIKA</v>
          </cell>
          <cell r="F317">
            <v>1</v>
          </cell>
          <cell r="G317">
            <v>0</v>
          </cell>
          <cell r="H317">
            <v>0</v>
          </cell>
          <cell r="I317">
            <v>0.15</v>
          </cell>
          <cell r="J317">
            <v>0</v>
          </cell>
          <cell r="K317">
            <v>0.15</v>
          </cell>
          <cell r="L317">
            <v>0</v>
          </cell>
        </row>
        <row r="318">
          <cell r="C318">
            <v>80516492</v>
          </cell>
          <cell r="D318" t="str">
            <v>P型存水弯印尼(日标) PVC-U管件(D排水系列) DN75 (3") - RUCIKA</v>
          </cell>
          <cell r="E318" t="str">
            <v>JIS PVC-U P Trap (D) DN75 (3") - RUCIKA</v>
          </cell>
          <cell r="F318">
            <v>1</v>
          </cell>
          <cell r="G318">
            <v>0</v>
          </cell>
          <cell r="H318">
            <v>0</v>
          </cell>
          <cell r="I318">
            <v>0.15</v>
          </cell>
          <cell r="J318">
            <v>0</v>
          </cell>
          <cell r="K318">
            <v>0.15</v>
          </cell>
          <cell r="L318">
            <v>0</v>
          </cell>
        </row>
        <row r="319">
          <cell r="C319">
            <v>8020022809</v>
          </cell>
          <cell r="D319" t="str">
            <v>清扫口(带堵头)印尼(日标)PVC-U管件(D排水系列)灰色 DN50 (2") 联塑</v>
          </cell>
          <cell r="E319" t="str">
            <v>JIS PVC-U Cleanout With Plug (D) DN50 (2") Grey - LESSO</v>
          </cell>
          <cell r="F319">
            <v>1</v>
          </cell>
          <cell r="G319">
            <v>4260</v>
          </cell>
          <cell r="H319">
            <v>3838</v>
          </cell>
          <cell r="I319">
            <v>0.12</v>
          </cell>
          <cell r="J319">
            <v>4362</v>
          </cell>
          <cell r="K319">
            <v>0.1</v>
          </cell>
          <cell r="L319">
            <v>4265</v>
          </cell>
        </row>
        <row r="320">
          <cell r="C320">
            <v>8020022671</v>
          </cell>
          <cell r="D320" t="str">
            <v>清扫口(带堵头)印尼(日标)PVC-U管件(D排水系列)灰色 DN75 (3") 联塑</v>
          </cell>
          <cell r="E320" t="str">
            <v>JIS PVC-U Cleanout With Plug (D) DN75 (3") Grey - LESSO</v>
          </cell>
          <cell r="F320">
            <v>1</v>
          </cell>
          <cell r="G320">
            <v>6720</v>
          </cell>
          <cell r="H320">
            <v>6055</v>
          </cell>
          <cell r="I320">
            <v>0.12</v>
          </cell>
          <cell r="J320">
            <v>6881</v>
          </cell>
          <cell r="K320">
            <v>0.1</v>
          </cell>
          <cell r="L320">
            <v>6728</v>
          </cell>
        </row>
        <row r="321">
          <cell r="C321">
            <v>8020022672</v>
          </cell>
          <cell r="D321" t="str">
            <v>清扫口(带堵头)印尼(日标)PVC-U管件(D排水系列)灰色 DN100 (4") 联塑</v>
          </cell>
          <cell r="E321" t="str">
            <v>JIS PVC-U Cleanout With Plug (D) DN100 (4") Grey - LESSO</v>
          </cell>
          <cell r="F321">
            <v>1</v>
          </cell>
          <cell r="G321">
            <v>17165</v>
          </cell>
          <cell r="H321">
            <v>15464</v>
          </cell>
          <cell r="I321">
            <v>0.12</v>
          </cell>
          <cell r="J321">
            <v>17573</v>
          </cell>
          <cell r="K321">
            <v>0.1</v>
          </cell>
          <cell r="L321">
            <v>17183</v>
          </cell>
        </row>
        <row r="322">
          <cell r="C322">
            <v>8020022753</v>
          </cell>
          <cell r="D322" t="str">
            <v>清扫口(带螺帽)印尼(日标)PVC-U管件(D排水系列)灰色 DN100 (4") 联塑</v>
          </cell>
          <cell r="E322" t="str">
            <v>JIS PVC-U Cleanout With Cap (D) DN100 (4") Grey - LESSO</v>
          </cell>
          <cell r="F322">
            <v>1</v>
          </cell>
          <cell r="G322">
            <v>17521</v>
          </cell>
          <cell r="H322">
            <v>15785</v>
          </cell>
          <cell r="I322">
            <v>0.12</v>
          </cell>
          <cell r="J322">
            <v>17938</v>
          </cell>
          <cell r="K322">
            <v>0.1</v>
          </cell>
          <cell r="L322">
            <v>17539</v>
          </cell>
        </row>
        <row r="323">
          <cell r="C323">
            <v>8020022620</v>
          </cell>
          <cell r="D323" t="str">
            <v>管帽印尼(日标)PVC-U管件(D排水系列)灰色 DN35 (1-1/4") 联塑</v>
          </cell>
          <cell r="E323" t="str">
            <v>JIS PVC-U Cap (D) DN35 (1-1/4") Grey - LESSO</v>
          </cell>
          <cell r="F323">
            <v>1</v>
          </cell>
          <cell r="G323">
            <v>2364</v>
          </cell>
          <cell r="H323">
            <v>2130</v>
          </cell>
          <cell r="I323">
            <v>0.12</v>
          </cell>
          <cell r="J323">
            <v>2421</v>
          </cell>
          <cell r="K323">
            <v>0.1</v>
          </cell>
          <cell r="L323">
            <v>2367</v>
          </cell>
        </row>
        <row r="324">
          <cell r="C324">
            <v>8020022621</v>
          </cell>
          <cell r="D324" t="str">
            <v>管帽印尼(日标)PVC-U管件(D排水系列)灰色 DN40 (1-1/2") 联塑</v>
          </cell>
          <cell r="E324" t="str">
            <v>JIS PVC-U Cap (D) DN40 (1-1/2") Grey - LESSO</v>
          </cell>
          <cell r="F324">
            <v>1</v>
          </cell>
          <cell r="G324">
            <v>3181</v>
          </cell>
          <cell r="H324">
            <v>2866</v>
          </cell>
          <cell r="I324">
            <v>0.12</v>
          </cell>
          <cell r="J324">
            <v>3257</v>
          </cell>
          <cell r="K324">
            <v>0.1</v>
          </cell>
          <cell r="L324">
            <v>3185</v>
          </cell>
        </row>
        <row r="325">
          <cell r="C325">
            <v>8020022622</v>
          </cell>
          <cell r="D325" t="str">
            <v>管帽印尼(日标)PVC-U管件(D排水系列)灰色 DN50 (2") 联塑</v>
          </cell>
          <cell r="E325" t="str">
            <v>JIS PVC-U Cap (D) DN50 (2") Grey - LESSO</v>
          </cell>
          <cell r="F325">
            <v>1</v>
          </cell>
          <cell r="G325">
            <v>4380</v>
          </cell>
          <cell r="H325">
            <v>3946</v>
          </cell>
          <cell r="I325">
            <v>0.12</v>
          </cell>
          <cell r="J325">
            <v>4485</v>
          </cell>
          <cell r="K325">
            <v>0.1</v>
          </cell>
          <cell r="L325">
            <v>4385</v>
          </cell>
        </row>
        <row r="326">
          <cell r="C326">
            <v>8020022623</v>
          </cell>
          <cell r="D326" t="str">
            <v>管帽印尼(日标)PVC-U管件(D排水系列)灰色 DN75 (3") 联塑</v>
          </cell>
          <cell r="E326" t="str">
            <v>JIS PVC-U Cap (D) DN75 (3") Grey - LESSO</v>
          </cell>
          <cell r="F326">
            <v>1</v>
          </cell>
          <cell r="G326">
            <v>6841</v>
          </cell>
          <cell r="H326">
            <v>6164</v>
          </cell>
          <cell r="I326">
            <v>0.12</v>
          </cell>
          <cell r="J326">
            <v>7005</v>
          </cell>
          <cell r="K326">
            <v>0.1</v>
          </cell>
          <cell r="L326">
            <v>6849</v>
          </cell>
        </row>
        <row r="327">
          <cell r="C327">
            <v>8020022654</v>
          </cell>
          <cell r="D327" t="str">
            <v>管帽印尼(日标)PVC-U管件(D排水系列)灰色 DN100 (4") 联塑</v>
          </cell>
          <cell r="E327" t="str">
            <v>JIS PVC-U Cap (D) DN100 (4") Grey - LESSO</v>
          </cell>
          <cell r="F327">
            <v>1</v>
          </cell>
          <cell r="G327">
            <v>12651</v>
          </cell>
          <cell r="H327">
            <v>11398</v>
          </cell>
          <cell r="I327">
            <v>0.12</v>
          </cell>
          <cell r="J327">
            <v>12953</v>
          </cell>
          <cell r="K327">
            <v>0.1</v>
          </cell>
          <cell r="L327">
            <v>12665</v>
          </cell>
        </row>
        <row r="328">
          <cell r="C328">
            <v>8020022657</v>
          </cell>
          <cell r="D328" t="str">
            <v>异径套印尼(日标)PVC-U管件(D排水系列)灰色 DN40x35 (1-1/2"x1-1/4") 联塑</v>
          </cell>
          <cell r="E328" t="str">
            <v>JIS PVC-U Increaser (D - IN) DN40x35 (1-1/2"x1-1/4") Grey - LESSO</v>
          </cell>
          <cell r="F328">
            <v>1</v>
          </cell>
          <cell r="G328">
            <v>2061</v>
          </cell>
          <cell r="H328">
            <v>1857</v>
          </cell>
          <cell r="I328">
            <v>0.12</v>
          </cell>
          <cell r="J328">
            <v>2111</v>
          </cell>
          <cell r="K328">
            <v>0.1</v>
          </cell>
          <cell r="L328">
            <v>2064</v>
          </cell>
        </row>
        <row r="329">
          <cell r="C329">
            <v>8020022658</v>
          </cell>
          <cell r="D329" t="str">
            <v>异径套印尼(日标)PVC-U管件(D排水系列)灰色 DN50x35 (2"x1-1/4") 联塑</v>
          </cell>
          <cell r="E329" t="str">
            <v>JIS PVC-U Increaser (D - IN) DN50x35 (2"x1-1/4") Grey - LESSO</v>
          </cell>
          <cell r="F329">
            <v>1</v>
          </cell>
          <cell r="G329">
            <v>2607</v>
          </cell>
          <cell r="H329">
            <v>2349</v>
          </cell>
          <cell r="I329">
            <v>0.12</v>
          </cell>
          <cell r="J329">
            <v>2670</v>
          </cell>
          <cell r="K329">
            <v>0.1</v>
          </cell>
          <cell r="L329">
            <v>2610</v>
          </cell>
        </row>
        <row r="330">
          <cell r="C330">
            <v>8020022751</v>
          </cell>
          <cell r="D330" t="str">
            <v>异径套印尼(日标)PVC-U管件(D排水系列)灰色 DN50x40 (2"x1-1/2") 联塑</v>
          </cell>
          <cell r="E330" t="str">
            <v>JIS PVC-U Increaser (D - IN) DN50x40 (2"x1-1/2") Grey - LESSO</v>
          </cell>
          <cell r="F330">
            <v>1</v>
          </cell>
          <cell r="G330">
            <v>2700</v>
          </cell>
          <cell r="H330">
            <v>2433</v>
          </cell>
          <cell r="I330">
            <v>0.12</v>
          </cell>
          <cell r="J330">
            <v>2765</v>
          </cell>
          <cell r="K330">
            <v>0.1</v>
          </cell>
          <cell r="L330">
            <v>2704</v>
          </cell>
        </row>
        <row r="331">
          <cell r="C331">
            <v>8020022788</v>
          </cell>
          <cell r="D331" t="str">
            <v>异径套印尼(日标)PVC-U管件(D排水系列)灰色 DN65x40 (2-1/2"x1-1/2") 联塑</v>
          </cell>
          <cell r="E331" t="str">
            <v>JIS PVC-U Increaser (D - IN) DN65x40 (2-1/2"x1-1/2") Grey - LESSO</v>
          </cell>
          <cell r="F331">
            <v>1</v>
          </cell>
          <cell r="G331">
            <v>4141</v>
          </cell>
          <cell r="H331">
            <v>3731</v>
          </cell>
          <cell r="I331">
            <v>0.12</v>
          </cell>
          <cell r="J331">
            <v>4240</v>
          </cell>
          <cell r="K331">
            <v>0.1</v>
          </cell>
          <cell r="L331">
            <v>4146</v>
          </cell>
        </row>
        <row r="332">
          <cell r="C332">
            <v>8020022659</v>
          </cell>
          <cell r="D332" t="str">
            <v>异径套印尼(日标)PVC-U管件(D排水系列)灰色 DN65x50 (2-1/2"x2") 联塑</v>
          </cell>
          <cell r="E332" t="str">
            <v>JIS PVC-U Increaser (D - IN) DN65x50 (2-1/2"x2") Grey - LESSO</v>
          </cell>
          <cell r="F332">
            <v>1</v>
          </cell>
          <cell r="G332">
            <v>4425</v>
          </cell>
          <cell r="H332">
            <v>3987</v>
          </cell>
          <cell r="I332">
            <v>0.12</v>
          </cell>
          <cell r="J332">
            <v>4531</v>
          </cell>
          <cell r="K332">
            <v>0.1</v>
          </cell>
          <cell r="L332">
            <v>4430</v>
          </cell>
        </row>
        <row r="333">
          <cell r="C333">
            <v>8020022660</v>
          </cell>
          <cell r="D333" t="str">
            <v>异径套印尼(日标)PVC-U管件(D排水系列)灰色 DN75x40 (3"x1-1/2") 联塑</v>
          </cell>
          <cell r="E333" t="str">
            <v>JIS PVC-U Increaser (D - IN) DN75x40 (3"x1-1/2")- LESSO</v>
          </cell>
          <cell r="F333">
            <v>1</v>
          </cell>
          <cell r="G333">
            <v>5220</v>
          </cell>
          <cell r="H333">
            <v>4703</v>
          </cell>
          <cell r="I333">
            <v>0.12</v>
          </cell>
          <cell r="J333">
            <v>5345</v>
          </cell>
          <cell r="K333">
            <v>0.1</v>
          </cell>
          <cell r="L333">
            <v>5226</v>
          </cell>
        </row>
        <row r="334">
          <cell r="C334">
            <v>8020022661</v>
          </cell>
          <cell r="D334" t="str">
            <v>异径套印尼(日标)PVC-U管件(D排水系列)灰色 DN75x50 (3"x2") 联塑</v>
          </cell>
          <cell r="E334" t="str">
            <v>JIS PVC-U Increaser (D - IN) DN75x50 (3"x2") Grey - LESSO</v>
          </cell>
          <cell r="F334">
            <v>1</v>
          </cell>
          <cell r="G334">
            <v>5580</v>
          </cell>
          <cell r="H334">
            <v>5028</v>
          </cell>
          <cell r="I334">
            <v>0.12</v>
          </cell>
          <cell r="J334">
            <v>5714</v>
          </cell>
          <cell r="K334">
            <v>0.1</v>
          </cell>
          <cell r="L334">
            <v>5587</v>
          </cell>
        </row>
        <row r="335">
          <cell r="C335">
            <v>8020022752</v>
          </cell>
          <cell r="D335" t="str">
            <v>异径套印尼(日标)PVC-U管件(D排水系列)灰色 DN75x65 (3"x2-1/2") 联塑</v>
          </cell>
          <cell r="E335" t="str">
            <v>JIS PVC-U Increaser (D - IN) DN75x65 (3"x2-1/2") Grey - LESSO</v>
          </cell>
          <cell r="F335">
            <v>1</v>
          </cell>
          <cell r="G335">
            <v>5698</v>
          </cell>
          <cell r="H335">
            <v>5134</v>
          </cell>
          <cell r="I335">
            <v>0.12</v>
          </cell>
          <cell r="J335">
            <v>5835</v>
          </cell>
          <cell r="K335">
            <v>0.1</v>
          </cell>
          <cell r="L335">
            <v>5705</v>
          </cell>
        </row>
        <row r="336">
          <cell r="C336">
            <v>8020022662</v>
          </cell>
          <cell r="D336" t="str">
            <v>异径套印尼(日标)PVC-U管件(D排水系列)灰色 DN100x50 (4"x2") 联塑</v>
          </cell>
          <cell r="E336" t="str">
            <v>JIS PVC-U Increaser (D - IN) DN100x50 (4"x2") Grey - LESSO</v>
          </cell>
          <cell r="F336">
            <v>1</v>
          </cell>
          <cell r="G336">
            <v>9265</v>
          </cell>
          <cell r="H336">
            <v>8347</v>
          </cell>
          <cell r="I336">
            <v>0.12</v>
          </cell>
          <cell r="J336">
            <v>9486</v>
          </cell>
          <cell r="K336">
            <v>0.1</v>
          </cell>
          <cell r="L336">
            <v>9275</v>
          </cell>
        </row>
        <row r="337">
          <cell r="C337">
            <v>8020022663</v>
          </cell>
          <cell r="D337" t="str">
            <v>异径套印尼(日标)PVC-U管件(D排水系列)灰色 DN100x65 (4"x2-1/2") 联塑</v>
          </cell>
          <cell r="E337" t="str">
            <v>JIS PVC-U Increaser (D - IN) DN100x65 (4"x2-1/2") Grey - LESSO</v>
          </cell>
          <cell r="F337">
            <v>1</v>
          </cell>
          <cell r="G337">
            <v>10487</v>
          </cell>
          <cell r="H337">
            <v>9448</v>
          </cell>
          <cell r="I337">
            <v>0.12</v>
          </cell>
          <cell r="J337">
            <v>10737</v>
          </cell>
          <cell r="K337">
            <v>0.1</v>
          </cell>
          <cell r="L337">
            <v>10498</v>
          </cell>
        </row>
        <row r="338">
          <cell r="C338">
            <v>8020022664</v>
          </cell>
          <cell r="D338" t="str">
            <v>异径套印尼(日标)PVC-U管件(D排水系列)灰色 DN100x75 (4"x3") 联塑</v>
          </cell>
          <cell r="E338" t="str">
            <v>JIS PVC-U Increaser (D - IN) DN100x75 (4"x3") Grey - LESSO</v>
          </cell>
          <cell r="F338">
            <v>1</v>
          </cell>
          <cell r="G338">
            <v>10810</v>
          </cell>
          <cell r="H338">
            <v>9739</v>
          </cell>
          <cell r="I338">
            <v>0.12</v>
          </cell>
          <cell r="J338">
            <v>11068</v>
          </cell>
          <cell r="K338">
            <v>0.1</v>
          </cell>
          <cell r="L338">
            <v>10822</v>
          </cell>
        </row>
        <row r="339">
          <cell r="C339">
            <v>8020022666</v>
          </cell>
          <cell r="D339" t="str">
            <v>异径套印尼(日标)PVC-U管件(D排水系列)灰色 DN150x100 (6"x4") 联塑</v>
          </cell>
          <cell r="E339" t="str">
            <v>JIS PVC-U Increaser (D - IN) DN150x100 (6"x4") Grey - LESSO</v>
          </cell>
          <cell r="F339">
            <v>1</v>
          </cell>
          <cell r="G339">
            <v>30603</v>
          </cell>
          <cell r="H339">
            <v>27571</v>
          </cell>
          <cell r="I339">
            <v>0.12</v>
          </cell>
          <cell r="J339">
            <v>31331</v>
          </cell>
          <cell r="K339">
            <v>0.1</v>
          </cell>
          <cell r="L339">
            <v>30635</v>
          </cell>
        </row>
        <row r="340">
          <cell r="C340">
            <v>8020022665</v>
          </cell>
          <cell r="D340" t="str">
            <v>异径套印尼(日标)PVC-U管件(D排水系列)灰色 DN150x75 (6"x3") 联塑</v>
          </cell>
          <cell r="E340" t="str">
            <v>JIS PVC-U Increaser (D - IN) DN150x75 (6"x3") Grey - LESSO</v>
          </cell>
          <cell r="F340">
            <v>1</v>
          </cell>
          <cell r="G340">
            <v>30183</v>
          </cell>
          <cell r="H340">
            <v>27192</v>
          </cell>
          <cell r="I340">
            <v>0.12</v>
          </cell>
          <cell r="J340">
            <v>30900</v>
          </cell>
          <cell r="K340">
            <v>0.1</v>
          </cell>
          <cell r="L340">
            <v>30214</v>
          </cell>
        </row>
        <row r="341">
          <cell r="C341">
            <v>8020026141</v>
          </cell>
          <cell r="D341" t="str">
            <v>异径套印尼(日标)PVC-U管件(D排水系列)灰色 DN200x150 (8"x6") 联塑</v>
          </cell>
          <cell r="E341" t="str">
            <v>JIS PVC-U Increaser (D - IN) DN200x150 (8"x6") Grey - LESSO</v>
          </cell>
          <cell r="F341">
            <v>1</v>
          </cell>
          <cell r="G341">
            <v>68921</v>
          </cell>
          <cell r="H341">
            <v>62091</v>
          </cell>
          <cell r="I341">
            <v>0.12</v>
          </cell>
          <cell r="J341">
            <v>70558</v>
          </cell>
          <cell r="K341">
            <v>0.1</v>
          </cell>
          <cell r="L341">
            <v>68990</v>
          </cell>
        </row>
        <row r="342">
          <cell r="C342">
            <v>8020026129</v>
          </cell>
          <cell r="D342" t="str">
            <v>异径套印尼(日标)PVC-U管件(D排水系列)灰色 DN250x200 (10"x8") 联塑</v>
          </cell>
          <cell r="E342" t="str">
            <v>JIS PVC-U Increaser (D - IN) DN250x200 (10"x8") Grey - LESSO</v>
          </cell>
          <cell r="F342">
            <v>1</v>
          </cell>
          <cell r="G342">
            <v>96310</v>
          </cell>
          <cell r="H342">
            <v>86766</v>
          </cell>
          <cell r="I342">
            <v>0.12</v>
          </cell>
          <cell r="J342">
            <v>98598</v>
          </cell>
          <cell r="K342">
            <v>0.1</v>
          </cell>
          <cell r="L342">
            <v>96407</v>
          </cell>
        </row>
        <row r="343">
          <cell r="C343">
            <v>8020026153</v>
          </cell>
          <cell r="D343" t="str">
            <v>异径套印尼(日标)PVC-U管件(D排水系列)灰色 DN300x250 (12"x10") 联塑</v>
          </cell>
          <cell r="E343" t="str">
            <v>JIS PVC-U Increaser (D - IN) DN300x250 (12"x10") Grey - LESSO</v>
          </cell>
          <cell r="F343">
            <v>1</v>
          </cell>
          <cell r="G343">
            <v>139348</v>
          </cell>
          <cell r="H343">
            <v>125539</v>
          </cell>
          <cell r="I343">
            <v>0.12</v>
          </cell>
          <cell r="J343">
            <v>142658</v>
          </cell>
          <cell r="K343">
            <v>0.1</v>
          </cell>
          <cell r="L343">
            <v>139488</v>
          </cell>
        </row>
        <row r="344">
          <cell r="C344">
            <v>80516550</v>
          </cell>
          <cell r="D344" t="str">
            <v>异径套印尼(日标) PVC-U管件(D排水系列) DN50x35 (2"x1-1/4") - RUCIKA</v>
          </cell>
          <cell r="E344" t="str">
            <v>JIS PVC-U Increaser (D) DN50x35 (2"x1-1/4") - RUCIKA</v>
          </cell>
          <cell r="F344">
            <v>1</v>
          </cell>
          <cell r="G344">
            <v>0</v>
          </cell>
          <cell r="H344">
            <v>0</v>
          </cell>
          <cell r="I344">
            <v>0.15</v>
          </cell>
          <cell r="J344">
            <v>0</v>
          </cell>
          <cell r="K344">
            <v>0.15</v>
          </cell>
          <cell r="L344">
            <v>0</v>
          </cell>
        </row>
        <row r="345">
          <cell r="C345">
            <v>80516562</v>
          </cell>
          <cell r="D345" t="str">
            <v>异径套印尼(日标) PVC-U管件(D排水系列) DN125x100 (5"x4") - RUCIKA</v>
          </cell>
          <cell r="E345" t="str">
            <v>JIS PVC-U Increaser (D) DN125x100 (5"x4") - RUCIKA</v>
          </cell>
          <cell r="F345">
            <v>1</v>
          </cell>
          <cell r="G345">
            <v>0</v>
          </cell>
          <cell r="H345">
            <v>0</v>
          </cell>
          <cell r="I345">
            <v>0.15</v>
          </cell>
          <cell r="J345">
            <v>0</v>
          </cell>
          <cell r="K345">
            <v>0.15</v>
          </cell>
          <cell r="L345">
            <v>0</v>
          </cell>
        </row>
        <row r="346">
          <cell r="C346">
            <v>80516429</v>
          </cell>
          <cell r="D346" t="str">
            <v>印尼(日标) PVC 清扫口(AW给水系列) DN50 (2") - RUCIKA</v>
          </cell>
          <cell r="E346" t="str">
            <v>JIS PVC Clean out (AW) DN50 (2") - RUCIKA</v>
          </cell>
          <cell r="F346">
            <v>1</v>
          </cell>
          <cell r="G346">
            <v>0</v>
          </cell>
          <cell r="H346">
            <v>0</v>
          </cell>
          <cell r="I346">
            <v>0.15</v>
          </cell>
          <cell r="J346">
            <v>0</v>
          </cell>
          <cell r="K346">
            <v>0.15</v>
          </cell>
          <cell r="L346">
            <v>0</v>
          </cell>
        </row>
        <row r="347">
          <cell r="C347">
            <v>80516430</v>
          </cell>
          <cell r="D347" t="str">
            <v>印尼(日标) PVC 清扫口(AW给水系列) DN75 (3") - RUCIKA</v>
          </cell>
          <cell r="E347" t="str">
            <v>JIS PVC Clean out (AW) DN75 (3") - RUCIKA</v>
          </cell>
          <cell r="F347">
            <v>1</v>
          </cell>
          <cell r="G347">
            <v>0</v>
          </cell>
          <cell r="H347">
            <v>0</v>
          </cell>
          <cell r="I347">
            <v>0.15</v>
          </cell>
          <cell r="J347">
            <v>0</v>
          </cell>
          <cell r="K347">
            <v>0.15</v>
          </cell>
          <cell r="L347">
            <v>0</v>
          </cell>
        </row>
        <row r="348">
          <cell r="C348">
            <v>80516431</v>
          </cell>
          <cell r="D348" t="str">
            <v>印尼(日标) PVC 清扫口(AW给水系列) DN100 (4") - RUCIKA</v>
          </cell>
          <cell r="E348" t="str">
            <v>JIS PVC Clean Out (AW) DN100 (4") - RUCIKA</v>
          </cell>
          <cell r="F348">
            <v>1</v>
          </cell>
          <cell r="G348">
            <v>0</v>
          </cell>
          <cell r="H348">
            <v>0</v>
          </cell>
          <cell r="I348">
            <v>0.15</v>
          </cell>
          <cell r="J348">
            <v>0</v>
          </cell>
          <cell r="K348">
            <v>0.15</v>
          </cell>
          <cell r="L348">
            <v>0</v>
          </cell>
        </row>
        <row r="349">
          <cell r="C349">
            <v>80516432</v>
          </cell>
          <cell r="D349" t="str">
            <v>印尼(日标) PVC 清扫口(AW给水系列) DN150 (6") - RUCIKA</v>
          </cell>
          <cell r="E349" t="str">
            <v>JIS PVC Clean out (AW) DN150 (6") - RUCIKA</v>
          </cell>
          <cell r="F349">
            <v>1</v>
          </cell>
          <cell r="G349">
            <v>0</v>
          </cell>
          <cell r="H349">
            <v>0</v>
          </cell>
          <cell r="I349">
            <v>0.15</v>
          </cell>
          <cell r="J349">
            <v>0</v>
          </cell>
          <cell r="K349">
            <v>0.15</v>
          </cell>
          <cell r="L349">
            <v>0</v>
          </cell>
        </row>
        <row r="350">
          <cell r="C350">
            <v>80516433</v>
          </cell>
          <cell r="D350" t="str">
            <v>印尼(日标) PVC 清扫口(AW给水系列) DN200 (8") - CM</v>
          </cell>
          <cell r="E350" t="str">
            <v>JIS PVC Clean Out (AW) DN200 (8") - CM</v>
          </cell>
          <cell r="F350">
            <v>1</v>
          </cell>
          <cell r="G350">
            <v>0</v>
          </cell>
          <cell r="H350">
            <v>0</v>
          </cell>
          <cell r="I350">
            <v>0.15</v>
          </cell>
          <cell r="J350">
            <v>0</v>
          </cell>
          <cell r="K350">
            <v>0.15</v>
          </cell>
          <cell r="L350">
            <v>0</v>
          </cell>
        </row>
        <row r="351">
          <cell r="C351" t="str">
            <v>PVC71345</v>
          </cell>
          <cell r="D351" t="str">
            <v>PVC球阀 dn22 (1/2") 球阀 - 三福</v>
          </cell>
          <cell r="E351" t="str">
            <v>PVC Ball Valve dn22 (1/2") - SANFU</v>
          </cell>
          <cell r="F351">
            <v>1</v>
          </cell>
          <cell r="G351">
            <v>0</v>
          </cell>
          <cell r="H351">
            <v>4900</v>
          </cell>
          <cell r="I351">
            <v>0.15</v>
          </cell>
          <cell r="J351">
            <v>5765</v>
          </cell>
          <cell r="K351">
            <v>0.15</v>
          </cell>
          <cell r="L351">
            <v>5765</v>
          </cell>
        </row>
        <row r="352">
          <cell r="C352" t="str">
            <v>PVC71346</v>
          </cell>
          <cell r="D352" t="str">
            <v>PVC球阀 dn26 (3/4")球阀 - 三福</v>
          </cell>
          <cell r="E352" t="str">
            <v>PVC Ball Valve dn26 (3/4") - SANFU</v>
          </cell>
          <cell r="F352">
            <v>1</v>
          </cell>
          <cell r="G352">
            <v>0</v>
          </cell>
          <cell r="H352">
            <v>7150</v>
          </cell>
          <cell r="I352">
            <v>0.15</v>
          </cell>
          <cell r="J352">
            <v>8412</v>
          </cell>
          <cell r="K352">
            <v>0.15</v>
          </cell>
          <cell r="L352">
            <v>8412</v>
          </cell>
        </row>
        <row r="353">
          <cell r="C353" t="str">
            <v>PVC71347</v>
          </cell>
          <cell r="D353" t="str">
            <v>PVC球阀 dn32 (1") 球阀 - 三福</v>
          </cell>
          <cell r="E353" t="str">
            <v>PVC Ball Valve dn32 (1") - SANFU</v>
          </cell>
          <cell r="F353">
            <v>1</v>
          </cell>
          <cell r="G353">
            <v>0</v>
          </cell>
          <cell r="H353">
            <v>12000</v>
          </cell>
          <cell r="I353">
            <v>0.15</v>
          </cell>
          <cell r="J353">
            <v>14118</v>
          </cell>
          <cell r="K353">
            <v>0.15</v>
          </cell>
          <cell r="L353">
            <v>14118</v>
          </cell>
        </row>
        <row r="354">
          <cell r="C354" t="str">
            <v>PVC71348</v>
          </cell>
          <cell r="D354" t="str">
            <v>PVC球阀 dn42 (1-1/4") 球阀 - 三福</v>
          </cell>
          <cell r="E354" t="str">
            <v>PVC Ball Valve dn42 (1-1/4") - SANFU</v>
          </cell>
          <cell r="F354">
            <v>1</v>
          </cell>
          <cell r="G354">
            <v>0</v>
          </cell>
          <cell r="H354">
            <v>18300</v>
          </cell>
          <cell r="I354">
            <v>0.15</v>
          </cell>
          <cell r="J354">
            <v>21530</v>
          </cell>
          <cell r="K354">
            <v>0.15</v>
          </cell>
          <cell r="L354">
            <v>21530</v>
          </cell>
        </row>
        <row r="355">
          <cell r="C355" t="str">
            <v>PVC71349</v>
          </cell>
          <cell r="D355" t="str">
            <v>PVC球阀 dn48 (1-1/2") 球阀 - 三福</v>
          </cell>
          <cell r="E355" t="str">
            <v>PVC Ball Valve dn48 (1-1/2") - SANFU</v>
          </cell>
          <cell r="F355">
            <v>1</v>
          </cell>
          <cell r="G355">
            <v>0</v>
          </cell>
          <cell r="H355">
            <v>25200</v>
          </cell>
          <cell r="I355">
            <v>0.15</v>
          </cell>
          <cell r="J355">
            <v>29648</v>
          </cell>
          <cell r="K355">
            <v>0.15</v>
          </cell>
          <cell r="L355">
            <v>29648</v>
          </cell>
        </row>
        <row r="356">
          <cell r="C356" t="str">
            <v>PVC71350</v>
          </cell>
          <cell r="D356" t="str">
            <v>PVC球阀 dn60 (2") 球阀 - 三福</v>
          </cell>
          <cell r="E356" t="str">
            <v>PVC Ball Valve dn60 (2") - SANFU</v>
          </cell>
          <cell r="F356">
            <v>1</v>
          </cell>
          <cell r="G356">
            <v>0</v>
          </cell>
          <cell r="H356">
            <v>37800</v>
          </cell>
          <cell r="I356">
            <v>0.15</v>
          </cell>
          <cell r="J356">
            <v>44471</v>
          </cell>
          <cell r="K356">
            <v>0.15</v>
          </cell>
          <cell r="L356">
            <v>44471</v>
          </cell>
        </row>
        <row r="357">
          <cell r="C357" t="str">
            <v>PVC72853</v>
          </cell>
          <cell r="D357" t="str">
            <v>PVC球阀 dn76 (2-1/2") 球阀 - 三福</v>
          </cell>
          <cell r="E357" t="str">
            <v>PVC Ball Valve dn76 (2-1/2") - SANFU</v>
          </cell>
          <cell r="F357">
            <v>1</v>
          </cell>
          <cell r="G357">
            <v>0</v>
          </cell>
          <cell r="H357">
            <v>65000</v>
          </cell>
          <cell r="I357">
            <v>0.15</v>
          </cell>
          <cell r="J357">
            <v>76471</v>
          </cell>
          <cell r="K357">
            <v>0.15</v>
          </cell>
          <cell r="L357">
            <v>76471</v>
          </cell>
        </row>
        <row r="358">
          <cell r="C358" t="str">
            <v>PVC72854</v>
          </cell>
          <cell r="D358" t="str">
            <v>PVC球阀 dn89 (3") 球阀 - 三福</v>
          </cell>
          <cell r="E358" t="str">
            <v>PVC Ball Valve dn89 (3") - SANFU</v>
          </cell>
          <cell r="F358">
            <v>1</v>
          </cell>
          <cell r="G358">
            <v>0</v>
          </cell>
          <cell r="H358">
            <v>118000</v>
          </cell>
          <cell r="I358">
            <v>0.15</v>
          </cell>
          <cell r="J358">
            <v>138824</v>
          </cell>
          <cell r="K358">
            <v>0.15</v>
          </cell>
          <cell r="L358">
            <v>138824</v>
          </cell>
        </row>
        <row r="359">
          <cell r="C359" t="str">
            <v>PVC72855</v>
          </cell>
          <cell r="D359" t="str">
            <v>PVC球阀 dn114(4") 球阀 - 三福</v>
          </cell>
          <cell r="E359" t="str">
            <v>PVC Ball Valve dn114 (4") - SANFU</v>
          </cell>
          <cell r="F359">
            <v>1</v>
          </cell>
          <cell r="G359">
            <v>0</v>
          </cell>
          <cell r="H359">
            <v>216000</v>
          </cell>
          <cell r="I359">
            <v>0.15</v>
          </cell>
          <cell r="J359">
            <v>254118</v>
          </cell>
          <cell r="K359">
            <v>0.15</v>
          </cell>
          <cell r="L359">
            <v>254118</v>
          </cell>
        </row>
        <row r="360">
          <cell r="C360">
            <v>102321</v>
          </cell>
          <cell r="D360" t="str">
            <v>印尼(日标) PVC堵头 (D排水系列) DN65 (2-1/2") - RUCIKA</v>
          </cell>
          <cell r="E360" t="str">
            <v>JIS PVC CAP DOP (D) DN65(2-1/2") - RUCIKA</v>
          </cell>
          <cell r="F360">
            <v>1</v>
          </cell>
          <cell r="G360">
            <v>0</v>
          </cell>
          <cell r="H360">
            <v>0</v>
          </cell>
          <cell r="I360">
            <v>0.15</v>
          </cell>
          <cell r="J360">
            <v>0</v>
          </cell>
          <cell r="K360">
            <v>0.15</v>
          </cell>
          <cell r="L360">
            <v>0</v>
          </cell>
        </row>
        <row r="361">
          <cell r="C361">
            <v>8110010127</v>
          </cell>
          <cell r="D361" t="str">
            <v>塑胶(PVC-U)多用快接水龙头 W83105 DN15 联塑</v>
          </cell>
          <cell r="E361" t="str">
            <v>PVC-U Plastic Faucet W83105 DN15 - LESSO</v>
          </cell>
          <cell r="F361">
            <v>1</v>
          </cell>
          <cell r="G361">
            <v>5041</v>
          </cell>
          <cell r="H361">
            <v>4542</v>
          </cell>
          <cell r="I361">
            <v>0.12</v>
          </cell>
          <cell r="J361">
            <v>5162</v>
          </cell>
          <cell r="K361">
            <v>0.1</v>
          </cell>
          <cell r="L361">
            <v>5047</v>
          </cell>
        </row>
        <row r="362">
          <cell r="C362">
            <v>8110010817</v>
          </cell>
          <cell r="D362" t="str">
            <v>塑胶(PVC-U)多用快接水龙头 W83105B DN20 联塑</v>
          </cell>
          <cell r="E362" t="str">
            <v>PVC-U Plastic Faucet W83105B DN20 - LESSO</v>
          </cell>
          <cell r="F362">
            <v>1</v>
          </cell>
          <cell r="G362">
            <v>5397</v>
          </cell>
          <cell r="H362">
            <v>4863</v>
          </cell>
          <cell r="I362">
            <v>0.12</v>
          </cell>
          <cell r="J362">
            <v>5527</v>
          </cell>
          <cell r="K362">
            <v>0.1</v>
          </cell>
          <cell r="L362">
            <v>5404</v>
          </cell>
        </row>
        <row r="363">
          <cell r="C363">
            <v>8110010128</v>
          </cell>
          <cell r="D363" t="str">
            <v>塑胶(PVC-U)加长滤网水龙头 W13102 DN15 联塑</v>
          </cell>
          <cell r="E363" t="str">
            <v>PVC-U Plastic Faucet W13102 DN15 - LESSO</v>
          </cell>
          <cell r="F363">
            <v>1</v>
          </cell>
          <cell r="G363">
            <v>5295</v>
          </cell>
          <cell r="H363">
            <v>4771</v>
          </cell>
          <cell r="I363">
            <v>0.12</v>
          </cell>
          <cell r="J363">
            <v>5422</v>
          </cell>
          <cell r="K363">
            <v>0.1</v>
          </cell>
          <cell r="L363">
            <v>5302</v>
          </cell>
        </row>
        <row r="364">
          <cell r="C364">
            <v>8110010815</v>
          </cell>
          <cell r="D364" t="str">
            <v>塑胶(PVC-U)加长滤网水龙头 W13102B DN20 联塑</v>
          </cell>
          <cell r="E364" t="str">
            <v>PVC-U Plastic Faucet W13102B DN20 - LESSO</v>
          </cell>
          <cell r="F364">
            <v>1</v>
          </cell>
          <cell r="G364">
            <v>5322</v>
          </cell>
          <cell r="H364">
            <v>4795</v>
          </cell>
          <cell r="I364">
            <v>0.12</v>
          </cell>
          <cell r="J364">
            <v>5449</v>
          </cell>
          <cell r="K364">
            <v>0.1</v>
          </cell>
          <cell r="L364">
            <v>5328</v>
          </cell>
        </row>
        <row r="365">
          <cell r="C365">
            <v>8110010129</v>
          </cell>
          <cell r="D365" t="str">
            <v>塑胶(PVC-U)加长洗衣机水龙头 W83101 DN15 联塑</v>
          </cell>
          <cell r="E365" t="str">
            <v>PVC-U Plastic Faucet W83101 DN15 - LESSO</v>
          </cell>
          <cell r="F365">
            <v>1</v>
          </cell>
          <cell r="G365">
            <v>4762</v>
          </cell>
          <cell r="H365">
            <v>4291</v>
          </cell>
          <cell r="I365">
            <v>0.12</v>
          </cell>
          <cell r="J365">
            <v>4877</v>
          </cell>
          <cell r="K365">
            <v>0.1</v>
          </cell>
          <cell r="L365">
            <v>4768</v>
          </cell>
        </row>
        <row r="366">
          <cell r="C366">
            <v>8110010811</v>
          </cell>
          <cell r="D366" t="str">
            <v>塑胶(PVC-U)快接洗衣机龙头 W83106 DN15 联塑</v>
          </cell>
          <cell r="E366" t="str">
            <v>PVC-U Plastic Faucet W83106 DN15 - LESSO</v>
          </cell>
          <cell r="F366">
            <v>1</v>
          </cell>
          <cell r="G366">
            <v>4328</v>
          </cell>
          <cell r="H366">
            <v>3900</v>
          </cell>
          <cell r="I366">
            <v>0.12</v>
          </cell>
          <cell r="J366">
            <v>4432</v>
          </cell>
          <cell r="K366">
            <v>0.1</v>
          </cell>
          <cell r="L366">
            <v>4334</v>
          </cell>
        </row>
        <row r="367">
          <cell r="C367">
            <v>8110010130</v>
          </cell>
          <cell r="D367" t="str">
            <v>塑胶(PVC-U)滤网水龙头 W13103 DN15 联塑</v>
          </cell>
          <cell r="E367" t="str">
            <v>PVC-U Plastic Faucet W13103 DN15 - LESSO</v>
          </cell>
          <cell r="F367">
            <v>1</v>
          </cell>
          <cell r="G367">
            <v>5118</v>
          </cell>
          <cell r="H367">
            <v>4611</v>
          </cell>
          <cell r="I367">
            <v>0.12</v>
          </cell>
          <cell r="J367">
            <v>5240</v>
          </cell>
          <cell r="K367">
            <v>0.1</v>
          </cell>
          <cell r="L367">
            <v>5124</v>
          </cell>
        </row>
        <row r="368">
          <cell r="C368">
            <v>8110010131</v>
          </cell>
          <cell r="D368" t="str">
            <v>塑胶(PVC-U)滤网水龙头 W13104 DN20 联塑</v>
          </cell>
          <cell r="E368" t="str">
            <v>PVC-U Plastic Faucet W13104 DN20 - LESSO</v>
          </cell>
          <cell r="F368">
            <v>1</v>
          </cell>
          <cell r="G368">
            <v>5220</v>
          </cell>
          <cell r="H368">
            <v>4703</v>
          </cell>
          <cell r="I368">
            <v>0.12</v>
          </cell>
          <cell r="J368">
            <v>5345</v>
          </cell>
          <cell r="K368">
            <v>0.1</v>
          </cell>
          <cell r="L368">
            <v>5226</v>
          </cell>
        </row>
        <row r="369">
          <cell r="C369">
            <v>8110010107</v>
          </cell>
          <cell r="D369" t="str">
            <v>塑胶(PVC-U)角阀 WP01201 DN15 联塑</v>
          </cell>
          <cell r="E369" t="str">
            <v>PVC-U Plastic Faucet WP01201 DN15 - LESSO</v>
          </cell>
          <cell r="F369">
            <v>1</v>
          </cell>
          <cell r="G369">
            <v>3666</v>
          </cell>
          <cell r="H369">
            <v>3303</v>
          </cell>
          <cell r="I369">
            <v>0.12</v>
          </cell>
          <cell r="J369">
            <v>3754</v>
          </cell>
          <cell r="K369">
            <v>0.1</v>
          </cell>
          <cell r="L369">
            <v>3670</v>
          </cell>
        </row>
        <row r="370">
          <cell r="C370">
            <v>8110010108</v>
          </cell>
          <cell r="D370" t="str">
            <v>塑胶(PVC-U)角阀 WP01202 DN15 联塑</v>
          </cell>
          <cell r="E370" t="str">
            <v>PVC-U Plastic Faucet WP01202 DN15 - LESSO</v>
          </cell>
          <cell r="F370">
            <v>1</v>
          </cell>
          <cell r="G370">
            <v>3794</v>
          </cell>
          <cell r="H370">
            <v>3419</v>
          </cell>
          <cell r="I370">
            <v>0.12</v>
          </cell>
          <cell r="J370">
            <v>3886</v>
          </cell>
          <cell r="K370">
            <v>0.1</v>
          </cell>
          <cell r="L370">
            <v>3799</v>
          </cell>
        </row>
        <row r="371">
          <cell r="C371">
            <v>8110010185</v>
          </cell>
          <cell r="D371" t="str">
            <v>塑胶(PVC-U)直通阀 WP01203</v>
          </cell>
          <cell r="E371" t="str">
            <v>PVC-U Plastic Faucet WP01203 - LESSO</v>
          </cell>
          <cell r="F371">
            <v>1</v>
          </cell>
          <cell r="G371">
            <v>3615</v>
          </cell>
          <cell r="H371">
            <v>3257</v>
          </cell>
          <cell r="I371">
            <v>0.12</v>
          </cell>
          <cell r="J371">
            <v>3702</v>
          </cell>
          <cell r="K371">
            <v>0.1</v>
          </cell>
          <cell r="L371">
            <v>3619</v>
          </cell>
        </row>
        <row r="372">
          <cell r="C372">
            <v>8110010906</v>
          </cell>
          <cell r="D372" t="str">
            <v>塑胶(PVC-U)三通角阀 WP01205</v>
          </cell>
          <cell r="E372" t="str">
            <v>PVC-U Plastic Faucet WP01205 - LESSO</v>
          </cell>
          <cell r="F372">
            <v>1</v>
          </cell>
          <cell r="G372">
            <v>7129</v>
          </cell>
          <cell r="H372">
            <v>6423</v>
          </cell>
          <cell r="I372">
            <v>0.12</v>
          </cell>
          <cell r="J372">
            <v>7299</v>
          </cell>
          <cell r="K372">
            <v>0.1</v>
          </cell>
          <cell r="L372">
            <v>7137</v>
          </cell>
        </row>
        <row r="373">
          <cell r="C373">
            <v>8110010133</v>
          </cell>
          <cell r="D373" t="str">
            <v>塑胶(PVC-U)接管型水龙头 W13101</v>
          </cell>
          <cell r="E373" t="str">
            <v>PVC-U Plastic Faucet W13101 - LESSO</v>
          </cell>
          <cell r="F373">
            <v>1</v>
          </cell>
          <cell r="G373">
            <v>4379</v>
          </cell>
          <cell r="H373">
            <v>3946</v>
          </cell>
          <cell r="I373">
            <v>0.12</v>
          </cell>
          <cell r="J373">
            <v>4485</v>
          </cell>
          <cell r="K373">
            <v>0.1</v>
          </cell>
          <cell r="L373">
            <v>4385</v>
          </cell>
        </row>
        <row r="374">
          <cell r="C374">
            <v>8110010134</v>
          </cell>
          <cell r="D374" t="str">
            <v>塑胶(PVC-U)洗衣机水龙头 W83102 DN15 联塑</v>
          </cell>
          <cell r="E374" t="str">
            <v>PVC-U Plastic Faucet W83102 DN15 - LESSO</v>
          </cell>
          <cell r="F374">
            <v>1</v>
          </cell>
          <cell r="G374">
            <v>4583</v>
          </cell>
          <cell r="H374">
            <v>4129</v>
          </cell>
          <cell r="I374">
            <v>0.12</v>
          </cell>
          <cell r="J374">
            <v>4693</v>
          </cell>
          <cell r="K374">
            <v>0.1</v>
          </cell>
          <cell r="L374">
            <v>4588</v>
          </cell>
        </row>
        <row r="375">
          <cell r="C375">
            <v>8110010136</v>
          </cell>
          <cell r="D375" t="str">
            <v>塑胶(PVC-U)洗衣机水龙头 W83104 DN20 联塑</v>
          </cell>
          <cell r="E375" t="str">
            <v>PVC-U Plastic Faucet W83104 DN20 - LESSO</v>
          </cell>
          <cell r="F375">
            <v>1</v>
          </cell>
          <cell r="G375">
            <v>4685</v>
          </cell>
          <cell r="H375">
            <v>4221</v>
          </cell>
          <cell r="I375">
            <v>0.12</v>
          </cell>
          <cell r="J375">
            <v>4797</v>
          </cell>
          <cell r="K375">
            <v>0.1</v>
          </cell>
          <cell r="L375">
            <v>4690</v>
          </cell>
        </row>
        <row r="376">
          <cell r="C376">
            <v>8110010448</v>
          </cell>
          <cell r="D376" t="str">
            <v>塑胶(PVC-U)厨房单冷龙头 W23101 联塑</v>
          </cell>
          <cell r="E376" t="str">
            <v>PVC-U Plastic Faucet W23101 - LESSO</v>
          </cell>
          <cell r="F376">
            <v>1</v>
          </cell>
          <cell r="G376">
            <v>13926</v>
          </cell>
          <cell r="H376">
            <v>12546</v>
          </cell>
          <cell r="I376">
            <v>0.12</v>
          </cell>
          <cell r="J376">
            <v>14257</v>
          </cell>
          <cell r="K376">
            <v>0.1</v>
          </cell>
          <cell r="L376">
            <v>13940</v>
          </cell>
        </row>
        <row r="377">
          <cell r="C377">
            <v>8110010450</v>
          </cell>
          <cell r="D377" t="str">
            <v>塑胶(PVC-U)厨房单冷龙头 W23103 联塑</v>
          </cell>
          <cell r="E377" t="str">
            <v>PVC-U Plastic Faucet W23103 - LESSO</v>
          </cell>
          <cell r="F377">
            <v>1</v>
          </cell>
          <cell r="G377">
            <v>14765</v>
          </cell>
          <cell r="H377">
            <v>13302</v>
          </cell>
          <cell r="I377">
            <v>0.12</v>
          </cell>
          <cell r="J377">
            <v>15116</v>
          </cell>
          <cell r="K377">
            <v>0.1</v>
          </cell>
          <cell r="L377">
            <v>14780</v>
          </cell>
        </row>
        <row r="378">
          <cell r="C378">
            <v>8110010796</v>
          </cell>
          <cell r="D378" t="str">
            <v>塑胶(PVC-U)厨房单冷龙头 W23105 联塑</v>
          </cell>
          <cell r="E378" t="str">
            <v>PVC-U Plastic Faucet W23105 - LESSO</v>
          </cell>
          <cell r="F378">
            <v>1</v>
          </cell>
          <cell r="G378">
            <v>12959</v>
          </cell>
          <cell r="H378">
            <v>11675</v>
          </cell>
          <cell r="I378">
            <v>0.12</v>
          </cell>
          <cell r="J378">
            <v>13268</v>
          </cell>
          <cell r="K378">
            <v>0.1</v>
          </cell>
          <cell r="L378">
            <v>12973</v>
          </cell>
        </row>
        <row r="379">
          <cell r="C379">
            <v>8110010810</v>
          </cell>
          <cell r="D379" t="str">
            <v>塑胶(PVC-U)厨房单冷龙头 W23107 联塑</v>
          </cell>
          <cell r="E379" t="str">
            <v>PVC-U Plastic Faucet W23107 - LESSO</v>
          </cell>
          <cell r="F379">
            <v>1</v>
          </cell>
          <cell r="G379">
            <v>13951</v>
          </cell>
          <cell r="H379">
            <v>12569</v>
          </cell>
          <cell r="I379">
            <v>0.12</v>
          </cell>
          <cell r="J379">
            <v>14283</v>
          </cell>
          <cell r="K379">
            <v>0.1</v>
          </cell>
          <cell r="L379">
            <v>13966</v>
          </cell>
        </row>
        <row r="380">
          <cell r="C380">
            <v>8110010845</v>
          </cell>
          <cell r="D380" t="str">
            <v>塑胶(PVC-U)厨房单冷龙头 W23107B 联塑</v>
          </cell>
          <cell r="E380" t="str">
            <v>PVC-U Plastic Faucet W23107B - LESSO</v>
          </cell>
          <cell r="F380">
            <v>1</v>
          </cell>
          <cell r="G380">
            <v>14002</v>
          </cell>
          <cell r="H380">
            <v>12615</v>
          </cell>
          <cell r="I380">
            <v>0.12</v>
          </cell>
          <cell r="J380">
            <v>14336</v>
          </cell>
          <cell r="K380">
            <v>0.1</v>
          </cell>
          <cell r="L380">
            <v>14017</v>
          </cell>
        </row>
        <row r="381">
          <cell r="C381">
            <v>8110010755</v>
          </cell>
          <cell r="D381" t="str">
            <v>塑胶(PVC-U)面盆单冷龙头 W33102 联塑</v>
          </cell>
          <cell r="E381" t="str">
            <v>PVC-U Plastic Faucet W33102 - LESSO</v>
          </cell>
          <cell r="F381">
            <v>1</v>
          </cell>
          <cell r="G381">
            <v>7485</v>
          </cell>
          <cell r="H381">
            <v>6744</v>
          </cell>
          <cell r="I381">
            <v>0.12</v>
          </cell>
          <cell r="J381">
            <v>7664</v>
          </cell>
          <cell r="K381">
            <v>0.1</v>
          </cell>
          <cell r="L381">
            <v>7494</v>
          </cell>
        </row>
        <row r="382">
          <cell r="C382">
            <v>80516584</v>
          </cell>
          <cell r="D382" t="str">
            <v>印尼(日标) PVC 再粘合胶水 100g - RUCIKA</v>
          </cell>
          <cell r="E382" t="str">
            <v>JIS PVC Re-glue Pipe Cement 100g - RUCIKA</v>
          </cell>
          <cell r="F382">
            <v>1</v>
          </cell>
          <cell r="G382">
            <v>0</v>
          </cell>
          <cell r="H382">
            <v>0</v>
          </cell>
          <cell r="I382">
            <v>0.15</v>
          </cell>
          <cell r="J382">
            <v>0</v>
          </cell>
          <cell r="K382">
            <v>0.15</v>
          </cell>
          <cell r="L382">
            <v>0</v>
          </cell>
        </row>
        <row r="383">
          <cell r="C383" t="str">
            <v>GPR-LL02L00004</v>
          </cell>
          <cell r="D383" t="str">
            <v>PVC 胶水(莱姆) 400g - ISARPLAS</v>
          </cell>
          <cell r="E383" t="str">
            <v>Glue PVC 400g - ISARPLAS</v>
          </cell>
          <cell r="F383">
            <v>1</v>
          </cell>
          <cell r="G383">
            <v>53500</v>
          </cell>
          <cell r="H383">
            <v>48199</v>
          </cell>
          <cell r="I383">
            <v>0.12</v>
          </cell>
          <cell r="J383">
            <v>54772</v>
          </cell>
          <cell r="K383">
            <v>0.12</v>
          </cell>
          <cell r="L383">
            <v>54772</v>
          </cell>
        </row>
        <row r="384">
          <cell r="C384" t="str">
            <v>GPR-LL02L21002</v>
          </cell>
          <cell r="D384" t="str">
            <v>PVC 胶水(莱姆) 400g - ASOKA</v>
          </cell>
          <cell r="E384" t="str">
            <v>Glue PVC 400g - ASOKA</v>
          </cell>
          <cell r="F384">
            <v>1</v>
          </cell>
          <cell r="G384">
            <v>59940</v>
          </cell>
          <cell r="H384">
            <v>54000</v>
          </cell>
          <cell r="I384">
            <v>0.12</v>
          </cell>
          <cell r="J384">
            <v>61364</v>
          </cell>
          <cell r="K384">
            <v>0.12</v>
          </cell>
          <cell r="L384">
            <v>61364</v>
          </cell>
        </row>
        <row r="385">
          <cell r="C385">
            <v>80516585</v>
          </cell>
          <cell r="D385" t="str">
            <v>印尼(日标)管道胶水 400g - RUCIKA</v>
          </cell>
          <cell r="E385" t="str">
            <v>JIS Pipe Cement 400g - RUCIKA</v>
          </cell>
          <cell r="F385">
            <v>1</v>
          </cell>
          <cell r="G385">
            <v>0</v>
          </cell>
          <cell r="H385">
            <v>0</v>
          </cell>
          <cell r="I385">
            <v>0.15</v>
          </cell>
          <cell r="J385">
            <v>0</v>
          </cell>
          <cell r="K385">
            <v>0.15</v>
          </cell>
          <cell r="L385">
            <v>0</v>
          </cell>
        </row>
        <row r="386">
          <cell r="C386">
            <v>8010062265</v>
          </cell>
          <cell r="D386" t="str">
            <v>(IDN)PPR冷给水直管S5(1.0MPa)印尼绿色 dn20 (1/2") 4M/根 联塑</v>
          </cell>
          <cell r="E386" t="str">
            <v>(IDN)PPR Pipe S5(1.0Mpa) dn20 (1/2") 4M/pcs Green(INA) - LESSO</v>
          </cell>
          <cell r="F386">
            <v>1</v>
          </cell>
          <cell r="G386">
            <v>20196</v>
          </cell>
          <cell r="H386">
            <v>18195</v>
          </cell>
          <cell r="I386">
            <v>0.08</v>
          </cell>
          <cell r="J386">
            <v>19778</v>
          </cell>
          <cell r="K386">
            <v>0.06</v>
          </cell>
          <cell r="L386">
            <v>19357</v>
          </cell>
        </row>
        <row r="387">
          <cell r="C387">
            <v>8010062266</v>
          </cell>
          <cell r="D387" t="str">
            <v>(IDN)PPR冷给水直管S5(1.0MPa)印尼绿色 dn25 (3/4") 4M/根 联塑</v>
          </cell>
          <cell r="E387" t="str">
            <v>(IDN)PPR Pipe S5(1.0Mpa) dn25 (3/4") 4M/pcs Green(INA) - LESSO</v>
          </cell>
          <cell r="F387">
            <v>1</v>
          </cell>
          <cell r="G387">
            <v>26460</v>
          </cell>
          <cell r="H387">
            <v>23838</v>
          </cell>
          <cell r="I387">
            <v>0.08</v>
          </cell>
          <cell r="J387">
            <v>25911</v>
          </cell>
          <cell r="K387">
            <v>0.06</v>
          </cell>
          <cell r="L387">
            <v>25360</v>
          </cell>
        </row>
        <row r="388">
          <cell r="C388">
            <v>8010062267</v>
          </cell>
          <cell r="D388" t="str">
            <v>(IDN)PPR冷给水直管S5(1.0MPa)印尼绿色 dn32 (1") 4M/根 联塑</v>
          </cell>
          <cell r="E388" t="str">
            <v>(IDN)PPR Pipe S5(1.0Mpa) dn32 (1") 4M/pcs Green(INA) - LESSO</v>
          </cell>
          <cell r="F388">
            <v>1</v>
          </cell>
          <cell r="G388">
            <v>42444</v>
          </cell>
          <cell r="H388">
            <v>38238</v>
          </cell>
          <cell r="I388">
            <v>0.08</v>
          </cell>
          <cell r="J388">
            <v>41564</v>
          </cell>
          <cell r="K388">
            <v>0.06</v>
          </cell>
          <cell r="L388">
            <v>40679</v>
          </cell>
        </row>
        <row r="389">
          <cell r="C389">
            <v>8010062268</v>
          </cell>
          <cell r="D389" t="str">
            <v>(IDN)PPR冷给水直管S5(1.0MPa)印尼绿色 dn40 (1-1/4") 4M/根 联塑</v>
          </cell>
          <cell r="E389" t="str">
            <v>(IDN)PPR Pipe S5(1.0Mpa) dn40 (1-1/4") 4M/pcs Green(INA) - LESSO</v>
          </cell>
          <cell r="F389">
            <v>1</v>
          </cell>
          <cell r="G389">
            <v>69012</v>
          </cell>
          <cell r="H389">
            <v>62173</v>
          </cell>
          <cell r="I389">
            <v>0.08</v>
          </cell>
          <cell r="J389">
            <v>67580</v>
          </cell>
          <cell r="K389">
            <v>0.06</v>
          </cell>
          <cell r="L389">
            <v>66142</v>
          </cell>
        </row>
        <row r="390">
          <cell r="C390">
            <v>8010062269</v>
          </cell>
          <cell r="D390" t="str">
            <v>(IDN)PPR冷给水直管S5(1.0MPa)印尼绿色 dn50 (1-1/2") 4M/根 联塑</v>
          </cell>
          <cell r="E390" t="str">
            <v>(IDN)PPR Pipe S5(1.0Mpa) dn50 (1-1/2") 4M/pcs Green(INA) - LESSO</v>
          </cell>
          <cell r="F390">
            <v>1</v>
          </cell>
          <cell r="G390">
            <v>106920</v>
          </cell>
          <cell r="H390">
            <v>96325</v>
          </cell>
          <cell r="I390">
            <v>0.08</v>
          </cell>
          <cell r="J390">
            <v>104702</v>
          </cell>
          <cell r="K390">
            <v>0.06</v>
          </cell>
          <cell r="L390">
            <v>102474</v>
          </cell>
        </row>
        <row r="391">
          <cell r="C391">
            <v>8010062270</v>
          </cell>
          <cell r="D391" t="str">
            <v>(IDN)PPR冷给水直管S5(1.0MPa)印尼绿色 dn63 (2") 4M/根 联塑</v>
          </cell>
          <cell r="E391" t="str">
            <v>(IDN)PPR Pipe S5(1.0Mpa) dn63 (2") 4M/pcs Green(INA) - LESSO</v>
          </cell>
          <cell r="F391">
            <v>1</v>
          </cell>
          <cell r="G391">
            <v>169236</v>
          </cell>
          <cell r="H391">
            <v>152465</v>
          </cell>
          <cell r="I391">
            <v>0.08</v>
          </cell>
          <cell r="J391">
            <v>165723</v>
          </cell>
          <cell r="K391">
            <v>0.06</v>
          </cell>
          <cell r="L391">
            <v>162197</v>
          </cell>
        </row>
        <row r="392">
          <cell r="C392">
            <v>8010062271</v>
          </cell>
          <cell r="D392" t="str">
            <v>(IDN)PPR冷给水直管S5(1.0MPa)印尼绿色 dn75 (2-1/2") 4M/根 联塑</v>
          </cell>
          <cell r="E392" t="str">
            <v>(IDN)PPR Pipe S5(1.0Mpa) dn75 (2-1/2") 4M/pcs Green(INA) - LESSO</v>
          </cell>
          <cell r="F392">
            <v>1</v>
          </cell>
          <cell r="G392">
            <v>236844</v>
          </cell>
          <cell r="H392">
            <v>213373</v>
          </cell>
          <cell r="I392">
            <v>0.08</v>
          </cell>
          <cell r="J392">
            <v>231928</v>
          </cell>
          <cell r="K392">
            <v>0.06</v>
          </cell>
          <cell r="L392">
            <v>226993</v>
          </cell>
        </row>
        <row r="393">
          <cell r="C393">
            <v>8010062272</v>
          </cell>
          <cell r="D393" t="str">
            <v>(IDN)PPR冷给水直管S5(1.0MPa)印尼绿色 dn90 (3") 4M/根 联塑</v>
          </cell>
          <cell r="E393" t="str">
            <v>(IDN)PPR Pipe S5(1.0Mpa) dn90 (3") 4M/pcs Green(INA) - LESSO</v>
          </cell>
          <cell r="F393">
            <v>1</v>
          </cell>
          <cell r="G393">
            <v>354240</v>
          </cell>
          <cell r="H393">
            <v>319136</v>
          </cell>
          <cell r="I393">
            <v>0.08</v>
          </cell>
          <cell r="J393">
            <v>346887</v>
          </cell>
          <cell r="K393">
            <v>0.06</v>
          </cell>
          <cell r="L393">
            <v>339507</v>
          </cell>
        </row>
        <row r="394">
          <cell r="C394">
            <v>8010062273</v>
          </cell>
          <cell r="D394" t="str">
            <v>(IDN)PPR冷给水直管S5(1.0MPa)印尼绿色 dn110 (4") 4M/根 联塑</v>
          </cell>
          <cell r="E394" t="str">
            <v>(IDN)PPR Pipe S5(1.0Mpa) dn110 (4") 4M/pcs Green(INA) - LESSO</v>
          </cell>
          <cell r="F394">
            <v>1</v>
          </cell>
          <cell r="G394">
            <v>526068</v>
          </cell>
          <cell r="H394">
            <v>473936</v>
          </cell>
          <cell r="I394">
            <v>0.08</v>
          </cell>
          <cell r="J394">
            <v>515148</v>
          </cell>
          <cell r="K394">
            <v>0.06</v>
          </cell>
          <cell r="L394">
            <v>504188</v>
          </cell>
        </row>
        <row r="395">
          <cell r="C395">
            <v>8010062274</v>
          </cell>
          <cell r="D395" t="str">
            <v>(IDN)PPR冷给水直管S5(1.0MPa)印尼绿色 dn125 4M/根 联塑</v>
          </cell>
          <cell r="E395" t="str">
            <v>(IDN)PPR Pipe S5(1.0Mpa) dn125 4M/pcs Green(INA) - LESSO</v>
          </cell>
          <cell r="F395">
            <v>1</v>
          </cell>
          <cell r="G395">
            <v>1054825</v>
          </cell>
          <cell r="H395">
            <v>950293</v>
          </cell>
          <cell r="I395">
            <v>0.08</v>
          </cell>
          <cell r="J395">
            <v>1032928</v>
          </cell>
          <cell r="K395">
            <v>0.06</v>
          </cell>
          <cell r="L395">
            <v>1010950</v>
          </cell>
        </row>
        <row r="396">
          <cell r="C396">
            <v>8010062275</v>
          </cell>
          <cell r="D396" t="str">
            <v>(IDN)PPR冷给水直管S5(1.0MPa)印尼绿色 dn160 (6") 4M/根 联塑</v>
          </cell>
          <cell r="E396" t="str">
            <v>(IDN)PPR Pipe S5(1.0Mpa) dn160 (6") 4M/pcs Green(INA) - LESSO</v>
          </cell>
          <cell r="F396">
            <v>1</v>
          </cell>
          <cell r="G396">
            <v>1792692</v>
          </cell>
          <cell r="H396">
            <v>1615038</v>
          </cell>
          <cell r="I396">
            <v>0.08</v>
          </cell>
          <cell r="J396">
            <v>1755477</v>
          </cell>
          <cell r="K396">
            <v>0.06</v>
          </cell>
          <cell r="L396">
            <v>1718126</v>
          </cell>
        </row>
        <row r="397">
          <cell r="C397">
            <v>8010062276</v>
          </cell>
          <cell r="D397" t="str">
            <v>(IDN)PPR冷给水直管S4(1.25MPa)印尼绿色 dn20 (1/2") 4M/根 联塑</v>
          </cell>
          <cell r="E397" t="str">
            <v>(IDN)PPR Pipe S4(1.25Mpa) dn20 (1/2") 4M/pcs Green(INA) - LESSO</v>
          </cell>
          <cell r="F397">
            <v>1</v>
          </cell>
          <cell r="G397">
            <v>24624</v>
          </cell>
          <cell r="H397">
            <v>22184</v>
          </cell>
          <cell r="I397">
            <v>0.08</v>
          </cell>
          <cell r="J397">
            <v>24114</v>
          </cell>
          <cell r="K397">
            <v>0.06</v>
          </cell>
          <cell r="L397">
            <v>23600</v>
          </cell>
        </row>
        <row r="398">
          <cell r="C398">
            <v>8010062277</v>
          </cell>
          <cell r="D398" t="str">
            <v>(IDN)PPR冷给水直管S4(1.25MPa)印尼绿色 dn25 (3/4") 4M/根 联塑</v>
          </cell>
          <cell r="E398" t="str">
            <v>(IDN)PPR Pipe S4(1.25Mpa) dn25 (3/4") 4M/pcs Green(INA) - LESSO</v>
          </cell>
          <cell r="F398">
            <v>1</v>
          </cell>
          <cell r="G398">
            <v>38826</v>
          </cell>
          <cell r="H398">
            <v>34979</v>
          </cell>
          <cell r="I398">
            <v>0.08</v>
          </cell>
          <cell r="J398">
            <v>38021</v>
          </cell>
          <cell r="K398">
            <v>0.06</v>
          </cell>
          <cell r="L398">
            <v>37212</v>
          </cell>
        </row>
        <row r="399">
          <cell r="C399">
            <v>8010062278</v>
          </cell>
          <cell r="D399" t="str">
            <v>(IDN)PPR冷给水直管S4(1.25MPa)印尼绿色 dn32 (1") 4M/根 联塑</v>
          </cell>
          <cell r="E399" t="str">
            <v>(IDN)PPR Pipe S4(1.25Mpa) dn32 (1") 4M/pcs Green(INA) - LESSO</v>
          </cell>
          <cell r="F399">
            <v>1</v>
          </cell>
          <cell r="G399">
            <v>62316</v>
          </cell>
          <cell r="H399">
            <v>56141</v>
          </cell>
          <cell r="I399">
            <v>0.08</v>
          </cell>
          <cell r="J399">
            <v>61023</v>
          </cell>
          <cell r="K399">
            <v>0.06</v>
          </cell>
          <cell r="L399">
            <v>59725</v>
          </cell>
        </row>
        <row r="400">
          <cell r="C400">
            <v>8010062279</v>
          </cell>
          <cell r="D400" t="str">
            <v>(IDN)PPR冷给水直管S4(1.25MPa)印尼绿色 dn40 (1-1/4") 4M/根 联塑</v>
          </cell>
          <cell r="E400" t="str">
            <v>(IDN)PPR Pipe S4(1.25Mpa) dn40 (1-1/4") 4M/pcs Green(INA) - LESSO</v>
          </cell>
          <cell r="F400">
            <v>1</v>
          </cell>
          <cell r="G400">
            <v>99360</v>
          </cell>
          <cell r="H400">
            <v>89514</v>
          </cell>
          <cell r="I400">
            <v>0.08</v>
          </cell>
          <cell r="J400">
            <v>97298</v>
          </cell>
          <cell r="K400">
            <v>0.06</v>
          </cell>
          <cell r="L400">
            <v>95228</v>
          </cell>
        </row>
        <row r="401">
          <cell r="C401">
            <v>8010062280</v>
          </cell>
          <cell r="D401" t="str">
            <v>(IDN)PPR冷给水直管S4(1.25MPa)印尼绿色 dn50 (1-1/2") 4M/根 联塑</v>
          </cell>
          <cell r="E401" t="str">
            <v>(IDN)PPR Pipe S4(1.25Mpa) dn50 (1-1/2") 4M/pcs Green(INA) - LESSO</v>
          </cell>
          <cell r="F401">
            <v>1</v>
          </cell>
          <cell r="G401">
            <v>154980</v>
          </cell>
          <cell r="H401">
            <v>139622</v>
          </cell>
          <cell r="I401">
            <v>0.08</v>
          </cell>
          <cell r="J401">
            <v>151764</v>
          </cell>
          <cell r="K401">
            <v>0.06</v>
          </cell>
          <cell r="L401">
            <v>148535</v>
          </cell>
        </row>
        <row r="402">
          <cell r="C402">
            <v>8010062281</v>
          </cell>
          <cell r="D402" t="str">
            <v>(IDN)PPR冷给水直管S4(1.25MPa)印尼绿色 dn63 (2") 4M/根 联塑</v>
          </cell>
          <cell r="E402" t="str">
            <v>(IDN)PPR Pipe S4(1.25Mpa) dn63 (2") 4M/pcs Green(INA) - LESSO</v>
          </cell>
          <cell r="F402">
            <v>1</v>
          </cell>
          <cell r="G402">
            <v>243702</v>
          </cell>
          <cell r="H402">
            <v>219552</v>
          </cell>
          <cell r="I402">
            <v>0.08</v>
          </cell>
          <cell r="J402">
            <v>238644</v>
          </cell>
          <cell r="K402">
            <v>0.06</v>
          </cell>
          <cell r="L402">
            <v>233566</v>
          </cell>
        </row>
        <row r="403">
          <cell r="C403">
            <v>8010062282</v>
          </cell>
          <cell r="D403" t="str">
            <v>(IDN)PPR冷给水直管S4(1.25MPa)印尼绿色 dn75 (2-1/2") 4M/根 联塑</v>
          </cell>
          <cell r="E403" t="str">
            <v>(IDN)PPR Pipe S4(1.25Mpa) dn75 (2-1/2") 4M/pcs Green(INA) - LESSO</v>
          </cell>
          <cell r="F403">
            <v>1</v>
          </cell>
          <cell r="G403">
            <v>347004</v>
          </cell>
          <cell r="H403">
            <v>312617</v>
          </cell>
          <cell r="I403">
            <v>0.08</v>
          </cell>
          <cell r="J403">
            <v>339802</v>
          </cell>
          <cell r="K403">
            <v>0.06</v>
          </cell>
          <cell r="L403">
            <v>332572</v>
          </cell>
        </row>
        <row r="404">
          <cell r="C404">
            <v>8010062283</v>
          </cell>
          <cell r="D404" t="str">
            <v>(IDN)PPR冷给水直管S4(1.25MPa)印尼绿色 dn90 (3") 4M/根 联塑</v>
          </cell>
          <cell r="E404" t="str">
            <v>(IDN)PPR Pipe S4(1.25Mpa) dn90 (3") 4M/pcs Green(INA) - LESSO</v>
          </cell>
          <cell r="F404">
            <v>1</v>
          </cell>
          <cell r="G404">
            <v>515484</v>
          </cell>
          <cell r="H404">
            <v>464400</v>
          </cell>
          <cell r="I404">
            <v>0.08</v>
          </cell>
          <cell r="J404">
            <v>504783</v>
          </cell>
          <cell r="K404">
            <v>0.06</v>
          </cell>
          <cell r="L404">
            <v>494043</v>
          </cell>
        </row>
        <row r="405">
          <cell r="C405">
            <v>8010062284</v>
          </cell>
          <cell r="D405" t="str">
            <v>(IDN)PPR冷给水直管S4(1.25MPa)印尼绿色 dn110 (4") 4M/根 联塑</v>
          </cell>
          <cell r="E405" t="str">
            <v>(IDN)PPR Pipe S4(1.25Mpa) dn110 (4") 4M/pcs Green(INA) - LESSO</v>
          </cell>
          <cell r="F405">
            <v>1</v>
          </cell>
          <cell r="G405">
            <v>772146</v>
          </cell>
          <cell r="H405">
            <v>695628</v>
          </cell>
          <cell r="I405">
            <v>0.08</v>
          </cell>
          <cell r="J405">
            <v>756118</v>
          </cell>
          <cell r="K405">
            <v>0.06</v>
          </cell>
          <cell r="L405">
            <v>740030</v>
          </cell>
        </row>
        <row r="406">
          <cell r="C406">
            <v>8010062285</v>
          </cell>
          <cell r="D406" t="str">
            <v>(IDN)PPR冷给水直管S4(1.25MPa)印尼绿色 dn125 4M/根 联塑</v>
          </cell>
          <cell r="E406" t="str">
            <v>(IDN)PPR Pipe S4(1.25Mpa) dn125 4M/pcs Green(INA) - LESSO</v>
          </cell>
          <cell r="F406">
            <v>1</v>
          </cell>
          <cell r="G406">
            <v>1310046</v>
          </cell>
          <cell r="H406">
            <v>1180222</v>
          </cell>
          <cell r="I406">
            <v>0.08</v>
          </cell>
          <cell r="J406">
            <v>1282850</v>
          </cell>
          <cell r="K406">
            <v>0.06</v>
          </cell>
          <cell r="L406">
            <v>1255556</v>
          </cell>
        </row>
        <row r="407">
          <cell r="C407">
            <v>8010062286</v>
          </cell>
          <cell r="D407" t="str">
            <v>(IDN)PPR冷给水直管S4(1.25MPa)印尼绿色 dn160 (6") 4M/根 联塑</v>
          </cell>
          <cell r="E407" t="str">
            <v>(IDN)PPR Pipe S4(1.25Mpa) dn160 (6") 4M/pcs Green(INA) - LESSO</v>
          </cell>
          <cell r="F407">
            <v>1</v>
          </cell>
          <cell r="G407">
            <v>2599452</v>
          </cell>
          <cell r="H407">
            <v>2341849</v>
          </cell>
          <cell r="I407">
            <v>0.08</v>
          </cell>
          <cell r="J407">
            <v>2545489</v>
          </cell>
          <cell r="K407">
            <v>0.06</v>
          </cell>
          <cell r="L407">
            <v>2491329</v>
          </cell>
        </row>
        <row r="408">
          <cell r="C408">
            <v>8010062287</v>
          </cell>
          <cell r="D408" t="str">
            <v>(IDN)PPR热给水直管S3.2(1.6MPa)印尼绿色 dn20 (1/2") 4M/根 联塑</v>
          </cell>
          <cell r="E408" t="str">
            <v>(IDN)PPR Pipe S3.2(1.6Mpa) dn20 (1/2") 4M/pcs Green(INA) - LESSO</v>
          </cell>
          <cell r="F408">
            <v>1</v>
          </cell>
          <cell r="G408">
            <v>28026</v>
          </cell>
          <cell r="H408">
            <v>25249</v>
          </cell>
          <cell r="I408">
            <v>0.08</v>
          </cell>
          <cell r="J408">
            <v>27445</v>
          </cell>
          <cell r="K408">
            <v>0.06</v>
          </cell>
          <cell r="L408">
            <v>26861</v>
          </cell>
        </row>
        <row r="409">
          <cell r="C409">
            <v>8010062288</v>
          </cell>
          <cell r="D409" t="str">
            <v>(IDN)PPR热给水直管S3.2(1.6MPa)印尼绿色 dn25 (3/4") 4M/根 联塑</v>
          </cell>
          <cell r="E409" t="str">
            <v>(IDN)PPR Pipe S3.2(1.6Mpa) dn25 (3/4") 4M/pcs Green(INA) - LESSO</v>
          </cell>
          <cell r="F409">
            <v>1</v>
          </cell>
          <cell r="G409">
            <v>42984</v>
          </cell>
          <cell r="H409">
            <v>38725</v>
          </cell>
          <cell r="I409">
            <v>0.08</v>
          </cell>
          <cell r="J409">
            <v>42093</v>
          </cell>
          <cell r="K409">
            <v>0.06</v>
          </cell>
          <cell r="L409">
            <v>41197</v>
          </cell>
        </row>
        <row r="410">
          <cell r="C410">
            <v>8010062289</v>
          </cell>
          <cell r="D410" t="str">
            <v>(IDN)PPR热给水直管S3.2(1.6MPa)印尼绿色 dn32 (1") 4M/根 联塑</v>
          </cell>
          <cell r="E410" t="str">
            <v>(IDN)PPR Pipe S3.2(1.6Mpa) dn32 (1") 4M/pcs Green(INA) - LESSO</v>
          </cell>
          <cell r="F410">
            <v>1</v>
          </cell>
          <cell r="G410">
            <v>70578</v>
          </cell>
          <cell r="H410">
            <v>63584</v>
          </cell>
          <cell r="I410">
            <v>0.08</v>
          </cell>
          <cell r="J410">
            <v>69114</v>
          </cell>
          <cell r="K410">
            <v>0.06</v>
          </cell>
          <cell r="L410">
            <v>67643</v>
          </cell>
        </row>
        <row r="411">
          <cell r="C411">
            <v>8010062290</v>
          </cell>
          <cell r="D411" t="str">
            <v>(IDN)PPR热给水直管S3.2(1.6MPa)印尼绿色 dn40 (1-1/4") 4M/根 联塑</v>
          </cell>
          <cell r="E411" t="str">
            <v>(IDN)PPR Pipe S3.2(1.6Mpa) dn40 (1-1/4") 4M/pcs Green(INA) - LESSO</v>
          </cell>
          <cell r="F411">
            <v>1</v>
          </cell>
          <cell r="G411">
            <v>111510</v>
          </cell>
          <cell r="H411">
            <v>100460</v>
          </cell>
          <cell r="I411">
            <v>0.08</v>
          </cell>
          <cell r="J411">
            <v>109196</v>
          </cell>
          <cell r="K411">
            <v>0.06</v>
          </cell>
          <cell r="L411">
            <v>106873</v>
          </cell>
        </row>
        <row r="412">
          <cell r="C412">
            <v>8010062291</v>
          </cell>
          <cell r="D412" t="str">
            <v>(IDN)PPR热给水直管S3.2(1.6MPa)印尼绿色 dn50 (1-1/2") 4M/根 联塑</v>
          </cell>
          <cell r="E412" t="str">
            <v>(IDN)PPR Pipe S3.2(1.6Mpa) dn50 (1-1/2") 4M/pcs Green(INA) - LESSO</v>
          </cell>
          <cell r="F412">
            <v>1</v>
          </cell>
          <cell r="G412">
            <v>174258</v>
          </cell>
          <cell r="H412">
            <v>156990</v>
          </cell>
          <cell r="I412">
            <v>0.08</v>
          </cell>
          <cell r="J412">
            <v>170642</v>
          </cell>
          <cell r="K412">
            <v>0.06</v>
          </cell>
          <cell r="L412">
            <v>167011</v>
          </cell>
        </row>
        <row r="413">
          <cell r="C413">
            <v>8010062292</v>
          </cell>
          <cell r="D413" t="str">
            <v>(IDN)PPR热给水直管S3.2(1.6MPa)印尼绿色 dn63 (2") 4M/根 联塑</v>
          </cell>
          <cell r="E413" t="str">
            <v>(IDN)PPR Pipe S3.2(1.6Mpa) dn63 (2") 4M/pcs Green(INA) - LESSO</v>
          </cell>
          <cell r="F413">
            <v>1</v>
          </cell>
          <cell r="G413">
            <v>276048</v>
          </cell>
          <cell r="H413">
            <v>248692</v>
          </cell>
          <cell r="I413">
            <v>0.08</v>
          </cell>
          <cell r="J413">
            <v>270318</v>
          </cell>
          <cell r="K413">
            <v>0.06</v>
          </cell>
          <cell r="L413">
            <v>264566</v>
          </cell>
        </row>
        <row r="414">
          <cell r="C414">
            <v>8010062293</v>
          </cell>
          <cell r="D414" t="str">
            <v>(IDN)PPR热给水直管S3.2(1.6MPa)印尼绿色 dn75 (2-1/2") 4M/根 联塑</v>
          </cell>
          <cell r="E414" t="str">
            <v>(IDN)PPR Pipe S3.2(1.6Mpa) dn75 (2-1/2") 4M/pcs Green(INA) - LESSO</v>
          </cell>
          <cell r="F414">
            <v>1</v>
          </cell>
          <cell r="G414">
            <v>390798</v>
          </cell>
          <cell r="H414">
            <v>352071</v>
          </cell>
          <cell r="I414">
            <v>0.08</v>
          </cell>
          <cell r="J414">
            <v>382686</v>
          </cell>
          <cell r="K414">
            <v>0.06</v>
          </cell>
          <cell r="L414">
            <v>374544</v>
          </cell>
        </row>
        <row r="415">
          <cell r="C415">
            <v>8010062294</v>
          </cell>
          <cell r="D415" t="str">
            <v>(IDN)PPR热给水直管S3.2(1.6MPa)印尼绿色 dn90 (3") 4M/根 联塑</v>
          </cell>
          <cell r="E415" t="str">
            <v>(IDN)PPR Pipe S3.2(1.6Mpa) dn90 (3") 4M/pcs Green(INA) - LESSO</v>
          </cell>
          <cell r="F415">
            <v>1</v>
          </cell>
          <cell r="G415">
            <v>582228</v>
          </cell>
          <cell r="H415">
            <v>524530</v>
          </cell>
          <cell r="I415">
            <v>0.08</v>
          </cell>
          <cell r="J415">
            <v>570142</v>
          </cell>
          <cell r="K415">
            <v>0.06</v>
          </cell>
          <cell r="L415">
            <v>558011</v>
          </cell>
        </row>
        <row r="416">
          <cell r="C416">
            <v>8010062295</v>
          </cell>
          <cell r="D416" t="str">
            <v>(IDN)PPR热给水直管S3.2(1.6MPa)印尼绿色 dn110 (4") 4M/根 联塑</v>
          </cell>
          <cell r="E416" t="str">
            <v>(IDN)PPR Pipe S3.2(1.6Mpa) dn110 (4") 4M/pcs Green(INA) - LESSO</v>
          </cell>
          <cell r="F416">
            <v>1</v>
          </cell>
          <cell r="G416">
            <v>870048</v>
          </cell>
          <cell r="H416">
            <v>783828</v>
          </cell>
          <cell r="I416">
            <v>0.08</v>
          </cell>
          <cell r="J416">
            <v>851987</v>
          </cell>
          <cell r="K416">
            <v>0.06</v>
          </cell>
          <cell r="L416">
            <v>833860</v>
          </cell>
        </row>
        <row r="417">
          <cell r="C417">
            <v>8010062296</v>
          </cell>
          <cell r="D417" t="str">
            <v>(IDN)PPR热给水直管S3.2(1.6MPa)印尼绿色 dn125 4M/根 联塑</v>
          </cell>
          <cell r="E417" t="str">
            <v>(IDN)PPR Pipe S3.2(1.6Mpa) dn125 4M/pcs Green(INA) - LESSO</v>
          </cell>
          <cell r="F417">
            <v>1</v>
          </cell>
          <cell r="G417">
            <v>1463992</v>
          </cell>
          <cell r="H417">
            <v>1318912</v>
          </cell>
          <cell r="I417">
            <v>0.08</v>
          </cell>
          <cell r="J417">
            <v>1433600</v>
          </cell>
          <cell r="K417">
            <v>0.06</v>
          </cell>
          <cell r="L417">
            <v>1403098</v>
          </cell>
        </row>
        <row r="418">
          <cell r="C418">
            <v>8010062297</v>
          </cell>
          <cell r="D418" t="str">
            <v>(IDN)PPR热给水直管S3.2(1.6MPa)印尼绿色 dn160 (6") 4M/根 联塑</v>
          </cell>
          <cell r="E418" t="str">
            <v>(IDN)PPR Pipe S3.2(1.6Mpa) dn160 (6") 4M/pcs Green(INA) - LESSO</v>
          </cell>
          <cell r="F418">
            <v>1</v>
          </cell>
          <cell r="G418">
            <v>2964870</v>
          </cell>
          <cell r="H418">
            <v>2671055</v>
          </cell>
          <cell r="I418">
            <v>0.08</v>
          </cell>
          <cell r="J418">
            <v>2903321</v>
          </cell>
          <cell r="K418">
            <v>0.06</v>
          </cell>
          <cell r="L418">
            <v>2841548</v>
          </cell>
        </row>
        <row r="419">
          <cell r="C419">
            <v>8010062298</v>
          </cell>
          <cell r="D419" t="str">
            <v>(IDN)PPR热给水直管S2.5(2.0MPa)印尼绿色 dn20 (1/2") 4M/根 联塑</v>
          </cell>
          <cell r="E419" t="str">
            <v>(IDN)PPR Pipe S2.5(2.0Mpa) dn20 (1/2") 4M/pcs Green(INA) - LESSO</v>
          </cell>
          <cell r="F419">
            <v>1</v>
          </cell>
          <cell r="G419">
            <v>30829</v>
          </cell>
          <cell r="H419">
            <v>27774</v>
          </cell>
          <cell r="I419">
            <v>0.08</v>
          </cell>
          <cell r="J419">
            <v>30190</v>
          </cell>
          <cell r="K419">
            <v>0.06</v>
          </cell>
          <cell r="L419">
            <v>29547</v>
          </cell>
        </row>
        <row r="420">
          <cell r="C420">
            <v>8010062299</v>
          </cell>
          <cell r="D420" t="str">
            <v>(IDN)PPR热给水直管S2.5(2.0MPa)印尼绿色 dn25 (3/4") 4M/根 联塑</v>
          </cell>
          <cell r="E420" t="str">
            <v>(IDN)PPR Pipe S2.5(2.0Mpa) dn25 (3/4") 4M/pcs Green(INA) - LESSO</v>
          </cell>
          <cell r="F420">
            <v>1</v>
          </cell>
          <cell r="G420">
            <v>47282</v>
          </cell>
          <cell r="H420">
            <v>42597</v>
          </cell>
          <cell r="I420">
            <v>0.08</v>
          </cell>
          <cell r="J420">
            <v>46302</v>
          </cell>
          <cell r="K420">
            <v>0.06</v>
          </cell>
          <cell r="L420">
            <v>45316</v>
          </cell>
        </row>
        <row r="421">
          <cell r="C421">
            <v>8010062300</v>
          </cell>
          <cell r="D421" t="str">
            <v>(IDN)PPR热给水直管S2.5(2.0MPa)印尼绿色 dn32 (1") 4M/根 联塑</v>
          </cell>
          <cell r="E421" t="str">
            <v>(IDN)PPR Pipe S2.5(2.0Mpa) dn32 (1") 4M/pcs Green(INA) - LESSO</v>
          </cell>
          <cell r="F421">
            <v>1</v>
          </cell>
          <cell r="G421">
            <v>77636</v>
          </cell>
          <cell r="H421">
            <v>69943</v>
          </cell>
          <cell r="I421">
            <v>0.08</v>
          </cell>
          <cell r="J421">
            <v>76025</v>
          </cell>
          <cell r="K421">
            <v>0.06</v>
          </cell>
          <cell r="L421">
            <v>74408</v>
          </cell>
        </row>
        <row r="422">
          <cell r="C422">
            <v>8010062301</v>
          </cell>
          <cell r="D422" t="str">
            <v>(IDN)PPR热给水直管S2.5(2.0MPa)印尼绿色 dn40 (1-1/4") 4M/根 联塑</v>
          </cell>
          <cell r="E422" t="str">
            <v>(IDN)PPR Pipe S2.5(2.0Mpa) dn40 (1-1/4") 4M/pcs Green(INA) - LESSO</v>
          </cell>
          <cell r="F422">
            <v>1</v>
          </cell>
          <cell r="G422">
            <v>122661</v>
          </cell>
          <cell r="H422">
            <v>110506</v>
          </cell>
          <cell r="I422">
            <v>0.08</v>
          </cell>
          <cell r="J422">
            <v>120116</v>
          </cell>
          <cell r="K422">
            <v>0.06</v>
          </cell>
          <cell r="L422">
            <v>117560</v>
          </cell>
        </row>
        <row r="423">
          <cell r="C423">
            <v>8010062302</v>
          </cell>
          <cell r="D423" t="str">
            <v>(IDN)PPR热给水直管S2.5(2.0MPa)印尼绿色 dn50 (1-1/2") 4M/根 联塑</v>
          </cell>
          <cell r="E423" t="str">
            <v>(IDN)PPR Pipe S2.5(2.0Mpa) dn50 (1-1/2") 4M/pcs Green(INA) - LESSO</v>
          </cell>
          <cell r="F423">
            <v>1</v>
          </cell>
          <cell r="G423">
            <v>191684</v>
          </cell>
          <cell r="H423">
            <v>172689</v>
          </cell>
          <cell r="I423">
            <v>0.08</v>
          </cell>
          <cell r="J423">
            <v>187706</v>
          </cell>
          <cell r="K423">
            <v>0.06</v>
          </cell>
          <cell r="L423">
            <v>183712</v>
          </cell>
        </row>
        <row r="424">
          <cell r="C424">
            <v>8010062303</v>
          </cell>
          <cell r="D424" t="str">
            <v>(IDN)PPR热给水直管S2.5(2.0MPa)印尼绿色 dn63 (2") 4M/根 联塑</v>
          </cell>
          <cell r="E424" t="str">
            <v>(IDN)PPR Pipe S2.5(2.0Mpa) dn63 (2") 4M/pcs Green(INA) - LESSO</v>
          </cell>
          <cell r="F424">
            <v>1</v>
          </cell>
          <cell r="G424">
            <v>303653</v>
          </cell>
          <cell r="H424">
            <v>273562</v>
          </cell>
          <cell r="I424">
            <v>0.08</v>
          </cell>
          <cell r="J424">
            <v>297350</v>
          </cell>
          <cell r="K424">
            <v>0.06</v>
          </cell>
          <cell r="L424">
            <v>291024</v>
          </cell>
        </row>
        <row r="425">
          <cell r="C425">
            <v>8010062304</v>
          </cell>
          <cell r="D425" t="str">
            <v>(IDN)PPR热给水直管S2.5(2.0MPa)印尼绿色 dn75 (2-1/2") 4M/根 联塑</v>
          </cell>
          <cell r="E425" t="str">
            <v>(IDN)PPR Pipe S2.5(2.0Mpa) dn75 (2-1/2") 4M/pcs Green(INA) - LESSO</v>
          </cell>
          <cell r="F425">
            <v>1</v>
          </cell>
          <cell r="G425">
            <v>429878</v>
          </cell>
          <cell r="H425">
            <v>387278</v>
          </cell>
          <cell r="I425">
            <v>0.08</v>
          </cell>
          <cell r="J425">
            <v>420955</v>
          </cell>
          <cell r="K425">
            <v>0.06</v>
          </cell>
          <cell r="L425">
            <v>411998</v>
          </cell>
        </row>
        <row r="426">
          <cell r="C426">
            <v>8010062305</v>
          </cell>
          <cell r="D426" t="str">
            <v>(IDN)PPR热给水直管S2.5(2.0MPa)印尼绿色 dn90 (3") 4M/根 联塑</v>
          </cell>
          <cell r="E426" t="str">
            <v>(IDN)PPR Pipe S2.5(2.0Mpa) dn90 (3") 4M/pcs Green(INA) - LESSO</v>
          </cell>
          <cell r="F426">
            <v>1</v>
          </cell>
          <cell r="G426">
            <v>640451</v>
          </cell>
          <cell r="H426">
            <v>576983</v>
          </cell>
          <cell r="I426">
            <v>0.08</v>
          </cell>
          <cell r="J426">
            <v>627156</v>
          </cell>
          <cell r="K426">
            <v>0.06</v>
          </cell>
          <cell r="L426">
            <v>613812</v>
          </cell>
        </row>
        <row r="427">
          <cell r="C427">
            <v>8010062306</v>
          </cell>
          <cell r="D427" t="str">
            <v>(IDN)PPR热给水直管S2.5(2.0MPa)印尼绿色 dn110 (4") 4M/根 联塑</v>
          </cell>
          <cell r="E427" t="str">
            <v>(IDN)PPR Pipe S2.5(2.0Mpa) dn110 (4") 4M/pcs Green(INA) - LESSO</v>
          </cell>
          <cell r="F427">
            <v>1</v>
          </cell>
          <cell r="G427">
            <v>957053</v>
          </cell>
          <cell r="H427">
            <v>862210</v>
          </cell>
          <cell r="I427">
            <v>0.08</v>
          </cell>
          <cell r="J427">
            <v>937185</v>
          </cell>
          <cell r="K427">
            <v>0.06</v>
          </cell>
          <cell r="L427">
            <v>917245</v>
          </cell>
        </row>
        <row r="428">
          <cell r="C428">
            <v>8010062307</v>
          </cell>
          <cell r="D428" t="str">
            <v>(IDN)PPR热给水直管S2.5(2.0MPa)印尼绿色 dn125 4M/根 联塑</v>
          </cell>
          <cell r="E428" t="str">
            <v>(IDN)PPR Pipe S2.5(2.0Mpa) dn125 4M/pcs Green(INA) - LESSO</v>
          </cell>
          <cell r="F428">
            <v>1</v>
          </cell>
          <cell r="G428">
            <v>1610391</v>
          </cell>
          <cell r="H428">
            <v>1450803</v>
          </cell>
          <cell r="I428">
            <v>0.08</v>
          </cell>
          <cell r="J428">
            <v>1576960</v>
          </cell>
          <cell r="K428">
            <v>0.06</v>
          </cell>
          <cell r="L428">
            <v>1543408</v>
          </cell>
        </row>
        <row r="429">
          <cell r="C429">
            <v>8010062308</v>
          </cell>
          <cell r="D429" t="str">
            <v>(IDN)PPR热给水直管S2.5(2.0MPa)印尼绿色 dn160 (6") 4M/根 联塑</v>
          </cell>
          <cell r="E429" t="str">
            <v>(IDN)PPR Pipe S2.5(2.0Mpa) dn160 (6") 4M/pcs Green(INA) - LESSO</v>
          </cell>
          <cell r="F429">
            <v>1</v>
          </cell>
          <cell r="G429">
            <v>3261357</v>
          </cell>
          <cell r="H429">
            <v>2938160</v>
          </cell>
          <cell r="I429">
            <v>0.08</v>
          </cell>
          <cell r="J429">
            <v>3193653</v>
          </cell>
          <cell r="K429">
            <v>0.06</v>
          </cell>
          <cell r="L429">
            <v>3125703</v>
          </cell>
        </row>
        <row r="430">
          <cell r="C430">
            <v>8010072759</v>
          </cell>
          <cell r="D430" t="str">
            <v>直通(PPR 配件)印尼绿色 dn16 联塑</v>
          </cell>
          <cell r="E430" t="str">
            <v>PPR Coupling dn16 Green(INA) - LESSO</v>
          </cell>
          <cell r="F430">
            <v>1</v>
          </cell>
          <cell r="G430">
            <v>1029</v>
          </cell>
          <cell r="H430">
            <v>928</v>
          </cell>
          <cell r="I430">
            <v>0.12</v>
          </cell>
          <cell r="J430">
            <v>1055</v>
          </cell>
          <cell r="K430">
            <v>0.1</v>
          </cell>
          <cell r="L430">
            <v>1032</v>
          </cell>
        </row>
        <row r="431">
          <cell r="C431">
            <v>8010071377</v>
          </cell>
          <cell r="D431" t="str">
            <v>直通(PPR 配件)印尼绿色 dn20 (1/2") 联塑</v>
          </cell>
          <cell r="E431" t="str">
            <v>PPR Coupling dn20 (1/2") Green(INA) - LESSO</v>
          </cell>
          <cell r="F431">
            <v>1</v>
          </cell>
          <cell r="G431">
            <v>1323</v>
          </cell>
          <cell r="H431">
            <v>1192</v>
          </cell>
          <cell r="I431">
            <v>0.12</v>
          </cell>
          <cell r="J431">
            <v>1355</v>
          </cell>
          <cell r="K431">
            <v>0.1</v>
          </cell>
          <cell r="L431">
            <v>1325</v>
          </cell>
        </row>
        <row r="432">
          <cell r="C432">
            <v>8010071378</v>
          </cell>
          <cell r="D432" t="str">
            <v>直通(PPR 配件)印尼绿色 dn25 (3/4") 联塑</v>
          </cell>
          <cell r="E432" t="str">
            <v>PPR Coupling dn25 (3/4") Green(INA) - LESSO</v>
          </cell>
          <cell r="F432">
            <v>1</v>
          </cell>
          <cell r="G432">
            <v>1617</v>
          </cell>
          <cell r="H432">
            <v>1457</v>
          </cell>
          <cell r="I432">
            <v>0.12</v>
          </cell>
          <cell r="J432">
            <v>1656</v>
          </cell>
          <cell r="K432">
            <v>0.1</v>
          </cell>
          <cell r="L432">
            <v>1619</v>
          </cell>
        </row>
        <row r="433">
          <cell r="C433">
            <v>8010071379</v>
          </cell>
          <cell r="D433" t="str">
            <v>直通(PPR 配件)印尼绿色 dn32 (1") 联塑</v>
          </cell>
          <cell r="E433" t="str">
            <v>PPR Coupling dn32 (1") Green(INA) - LESSO</v>
          </cell>
          <cell r="F433">
            <v>1</v>
          </cell>
          <cell r="G433">
            <v>2352</v>
          </cell>
          <cell r="H433">
            <v>2119</v>
          </cell>
          <cell r="I433">
            <v>0.12</v>
          </cell>
          <cell r="J433">
            <v>2408</v>
          </cell>
          <cell r="K433">
            <v>0.1</v>
          </cell>
          <cell r="L433">
            <v>2355</v>
          </cell>
        </row>
        <row r="434">
          <cell r="C434">
            <v>8010071380</v>
          </cell>
          <cell r="D434" t="str">
            <v>直通(PPR 配件)印尼绿色 dn40 (1-1/4") 联塑</v>
          </cell>
          <cell r="E434" t="str">
            <v>PPR Coupling dn40 (1-1/4")- LESSO</v>
          </cell>
          <cell r="F434">
            <v>1</v>
          </cell>
          <cell r="G434">
            <v>4508</v>
          </cell>
          <cell r="H434">
            <v>4062</v>
          </cell>
          <cell r="I434">
            <v>0.12</v>
          </cell>
          <cell r="J434">
            <v>4616</v>
          </cell>
          <cell r="K434">
            <v>0.1</v>
          </cell>
          <cell r="L434">
            <v>4514</v>
          </cell>
        </row>
        <row r="435">
          <cell r="C435">
            <v>8010071381</v>
          </cell>
          <cell r="D435" t="str">
            <v>直通(PPR 配件)印尼绿色 dn50 (1-1/2") 联塑</v>
          </cell>
          <cell r="E435" t="str">
            <v>PPR Coupling dn50 (1-1/2")- LESSO</v>
          </cell>
          <cell r="F435">
            <v>1</v>
          </cell>
          <cell r="G435">
            <v>7595</v>
          </cell>
          <cell r="H435">
            <v>6843</v>
          </cell>
          <cell r="I435">
            <v>0.12</v>
          </cell>
          <cell r="J435">
            <v>7777</v>
          </cell>
          <cell r="K435">
            <v>0.1</v>
          </cell>
          <cell r="L435">
            <v>7604</v>
          </cell>
        </row>
        <row r="436">
          <cell r="C436">
            <v>8010071382</v>
          </cell>
          <cell r="D436" t="str">
            <v>直通(PPR 配件)印尼绿色 dn63 (2") 联塑</v>
          </cell>
          <cell r="E436" t="str">
            <v>PPR Coupling dn63 (2") Green(INA) - LESSO</v>
          </cell>
          <cell r="F436">
            <v>1</v>
          </cell>
          <cell r="G436">
            <v>9462</v>
          </cell>
          <cell r="H436">
            <v>8525</v>
          </cell>
          <cell r="I436">
            <v>0.12</v>
          </cell>
          <cell r="J436">
            <v>9688</v>
          </cell>
          <cell r="K436">
            <v>0.1</v>
          </cell>
          <cell r="L436">
            <v>9473</v>
          </cell>
        </row>
        <row r="437">
          <cell r="C437">
            <v>8010071383</v>
          </cell>
          <cell r="D437" t="str">
            <v>直通(PPR 配件)印尼绿色 dn75 (2-1/2") 联塑</v>
          </cell>
          <cell r="E437" t="str">
            <v>PPR Coupling dn75 (2-1/2") Green(INA) - LESSO</v>
          </cell>
          <cell r="F437">
            <v>1</v>
          </cell>
          <cell r="G437">
            <v>19796</v>
          </cell>
          <cell r="H437">
            <v>17835</v>
          </cell>
          <cell r="I437">
            <v>0.12</v>
          </cell>
          <cell r="J437">
            <v>20268</v>
          </cell>
          <cell r="K437">
            <v>0.1</v>
          </cell>
          <cell r="L437">
            <v>19817</v>
          </cell>
        </row>
        <row r="438">
          <cell r="C438">
            <v>8010071384</v>
          </cell>
          <cell r="D438" t="str">
            <v>直通(PPR 配件)印尼绿色 dn90 (3") 联塑</v>
          </cell>
          <cell r="E438" t="str">
            <v>PPR Coupling dn90 (3") Green(INA) - LESSO</v>
          </cell>
          <cell r="F438">
            <v>1</v>
          </cell>
          <cell r="G438">
            <v>40131</v>
          </cell>
          <cell r="H438">
            <v>36155</v>
          </cell>
          <cell r="I438">
            <v>0.12</v>
          </cell>
          <cell r="J438">
            <v>41086</v>
          </cell>
          <cell r="K438">
            <v>0.1</v>
          </cell>
          <cell r="L438">
            <v>40173</v>
          </cell>
        </row>
        <row r="439">
          <cell r="C439">
            <v>8010071385</v>
          </cell>
          <cell r="D439" t="str">
            <v>直通(PPR 配件)印尼绿色 dn110 (4") 联塑</v>
          </cell>
          <cell r="E439" t="str">
            <v>PPR Coupling dn110 (4") Green(INA) - LESSO</v>
          </cell>
          <cell r="F439">
            <v>1</v>
          </cell>
          <cell r="G439">
            <v>42864</v>
          </cell>
          <cell r="H439">
            <v>38617</v>
          </cell>
          <cell r="I439">
            <v>0.12</v>
          </cell>
          <cell r="J439">
            <v>43883</v>
          </cell>
          <cell r="K439">
            <v>0.1</v>
          </cell>
          <cell r="L439">
            <v>42908</v>
          </cell>
        </row>
        <row r="440">
          <cell r="C440">
            <v>8010071386</v>
          </cell>
          <cell r="D440" t="str">
            <v>直通(PPR 配件)印尼绿色 dn160 (6") 联塑</v>
          </cell>
          <cell r="E440" t="str">
            <v>PPR Coupling dn160 (6") Green(INA) - LESSO</v>
          </cell>
          <cell r="F440">
            <v>1</v>
          </cell>
          <cell r="G440">
            <v>130758</v>
          </cell>
          <cell r="H440">
            <v>117800</v>
          </cell>
          <cell r="I440">
            <v>0.12</v>
          </cell>
          <cell r="J440">
            <v>133864</v>
          </cell>
          <cell r="K440">
            <v>0.1</v>
          </cell>
          <cell r="L440">
            <v>130889</v>
          </cell>
        </row>
        <row r="441">
          <cell r="C441">
            <v>8010072756</v>
          </cell>
          <cell r="D441" t="str">
            <v>异径套(PPR 配件)印尼绿色 dn20x16 联塑</v>
          </cell>
          <cell r="E441" t="str">
            <v>PPR Reducing Coupling dn20x16 Green(INA) - LESSO</v>
          </cell>
          <cell r="F441">
            <v>1</v>
          </cell>
          <cell r="G441">
            <v>1543</v>
          </cell>
          <cell r="H441">
            <v>1391</v>
          </cell>
          <cell r="I441">
            <v>0.12</v>
          </cell>
          <cell r="J441">
            <v>1581</v>
          </cell>
          <cell r="K441">
            <v>0.1</v>
          </cell>
          <cell r="L441">
            <v>1546</v>
          </cell>
        </row>
        <row r="442">
          <cell r="C442">
            <v>8010072757</v>
          </cell>
          <cell r="D442" t="str">
            <v>异径套(PPR 配件)印尼绿色 dn25x16 联塑</v>
          </cell>
          <cell r="E442" t="str">
            <v>PPR Reducing Coupling dn25x16 Green(INA) - LESSO</v>
          </cell>
          <cell r="F442">
            <v>1</v>
          </cell>
          <cell r="G442">
            <v>2058</v>
          </cell>
          <cell r="H442">
            <v>1855</v>
          </cell>
          <cell r="I442">
            <v>0.12</v>
          </cell>
          <cell r="J442">
            <v>2108</v>
          </cell>
          <cell r="K442">
            <v>0.1</v>
          </cell>
          <cell r="L442">
            <v>2062</v>
          </cell>
        </row>
        <row r="443">
          <cell r="C443">
            <v>8010072758</v>
          </cell>
          <cell r="D443" t="str">
            <v>异径套(PPR 配件)印尼绿色 dn32x16 联塑</v>
          </cell>
          <cell r="E443" t="str">
            <v>PPR Reducing Coupling dn32x16 Green(INA) - LESSO</v>
          </cell>
          <cell r="F443">
            <v>1</v>
          </cell>
          <cell r="G443">
            <v>2156</v>
          </cell>
          <cell r="H443">
            <v>1943</v>
          </cell>
          <cell r="I443">
            <v>0.12</v>
          </cell>
          <cell r="J443">
            <v>2208</v>
          </cell>
          <cell r="K443">
            <v>0.1</v>
          </cell>
          <cell r="L443">
            <v>2159</v>
          </cell>
        </row>
        <row r="444">
          <cell r="C444">
            <v>8010071445</v>
          </cell>
          <cell r="D444" t="str">
            <v>异径套(PPR 配件)印尼绿色 dn25x20 (3/4"x1/2") 联塑</v>
          </cell>
          <cell r="E444" t="str">
            <v>PPR Reducer dn25x20 (3/4"x1/2") Green(INA) - LESSO</v>
          </cell>
          <cell r="F444">
            <v>1</v>
          </cell>
          <cell r="G444">
            <v>1274</v>
          </cell>
          <cell r="H444">
            <v>1148</v>
          </cell>
          <cell r="I444">
            <v>0.12</v>
          </cell>
          <cell r="J444">
            <v>1305</v>
          </cell>
          <cell r="K444">
            <v>0.1</v>
          </cell>
          <cell r="L444">
            <v>1276</v>
          </cell>
        </row>
        <row r="445">
          <cell r="C445">
            <v>8010071446</v>
          </cell>
          <cell r="D445" t="str">
            <v>异径套(PPR 配件)印尼绿色 dn32x20 (1"x1/2") 联塑</v>
          </cell>
          <cell r="E445" t="str">
            <v>PPR Reducer dn32x20 (1"x1/2") Green(INA) - LESSO</v>
          </cell>
          <cell r="F445">
            <v>1</v>
          </cell>
          <cell r="G445">
            <v>1862</v>
          </cell>
          <cell r="H445">
            <v>1678</v>
          </cell>
          <cell r="I445">
            <v>0.12</v>
          </cell>
          <cell r="J445">
            <v>1907</v>
          </cell>
          <cell r="K445">
            <v>0.1</v>
          </cell>
          <cell r="L445">
            <v>1865</v>
          </cell>
        </row>
        <row r="446">
          <cell r="C446">
            <v>8010071447</v>
          </cell>
          <cell r="D446" t="str">
            <v>异径套(PPR 配件)印尼绿色 dn32x25 (1"x3/4") 联塑</v>
          </cell>
          <cell r="E446" t="str">
            <v>PPR Reducer dn32x25 (1"x3/4") Green(INA) - LESSO</v>
          </cell>
          <cell r="F446">
            <v>1</v>
          </cell>
          <cell r="G446">
            <v>2107</v>
          </cell>
          <cell r="H446">
            <v>1899</v>
          </cell>
          <cell r="I446">
            <v>0.12</v>
          </cell>
          <cell r="J446">
            <v>2158</v>
          </cell>
          <cell r="K446">
            <v>0.1</v>
          </cell>
          <cell r="L446">
            <v>2110</v>
          </cell>
        </row>
        <row r="447">
          <cell r="C447">
            <v>8010071448</v>
          </cell>
          <cell r="D447" t="str">
            <v>异径套(PPR 配件)印尼绿色 dn40x20 (1-1/4"x1/2") 联塑</v>
          </cell>
          <cell r="E447" t="str">
            <v>PPR Reducer dn40x20 (1-1/4"x1/2") Green(INA) - LESSO</v>
          </cell>
          <cell r="F447">
            <v>1</v>
          </cell>
          <cell r="G447">
            <v>3626</v>
          </cell>
          <cell r="H447">
            <v>3267</v>
          </cell>
          <cell r="I447">
            <v>0.12</v>
          </cell>
          <cell r="J447">
            <v>3713</v>
          </cell>
          <cell r="K447">
            <v>0.1</v>
          </cell>
          <cell r="L447">
            <v>3630</v>
          </cell>
        </row>
        <row r="448">
          <cell r="C448">
            <v>8010071449</v>
          </cell>
          <cell r="D448" t="str">
            <v>异径套(PPR 配件)印尼绿色 dn40x25 (1-1/4"x3/4") 联塑</v>
          </cell>
          <cell r="E448" t="str">
            <v>PPR Reducer dn40x25 (1-1/4"x3/4") Green(INA) - LESSO</v>
          </cell>
          <cell r="F448">
            <v>1</v>
          </cell>
          <cell r="G448">
            <v>3773</v>
          </cell>
          <cell r="H448">
            <v>3400</v>
          </cell>
          <cell r="I448">
            <v>0.12</v>
          </cell>
          <cell r="J448">
            <v>3864</v>
          </cell>
          <cell r="K448">
            <v>0.1</v>
          </cell>
          <cell r="L448">
            <v>3778</v>
          </cell>
        </row>
        <row r="449">
          <cell r="C449">
            <v>8010071450</v>
          </cell>
          <cell r="D449" t="str">
            <v>异径套(PPR 配件)印尼绿色 dn40x32 (1-1/4"x1") 联塑</v>
          </cell>
          <cell r="E449" t="str">
            <v>PPR Reducer dn40x32 (1-1/2"x1/2") Green(INA) - LESSO</v>
          </cell>
          <cell r="F449">
            <v>1</v>
          </cell>
          <cell r="G449">
            <v>4214</v>
          </cell>
          <cell r="H449">
            <v>3797</v>
          </cell>
          <cell r="I449">
            <v>0.12</v>
          </cell>
          <cell r="J449">
            <v>4315</v>
          </cell>
          <cell r="K449">
            <v>0.1</v>
          </cell>
          <cell r="L449">
            <v>4219</v>
          </cell>
        </row>
        <row r="450">
          <cell r="C450">
            <v>8010071451</v>
          </cell>
          <cell r="D450" t="str">
            <v>异径套(PPR 配件)印尼绿色 dn50x20 (1-1/2"x1/2") 联塑</v>
          </cell>
          <cell r="E450" t="str">
            <v>PPR Reducer dn50x20 Green(INA) - LESSO</v>
          </cell>
          <cell r="F450">
            <v>1</v>
          </cell>
          <cell r="G450">
            <v>5684</v>
          </cell>
          <cell r="H450">
            <v>5121</v>
          </cell>
          <cell r="I450">
            <v>0.12</v>
          </cell>
          <cell r="J450">
            <v>5820</v>
          </cell>
          <cell r="K450">
            <v>0.1</v>
          </cell>
          <cell r="L450">
            <v>5690</v>
          </cell>
        </row>
        <row r="451">
          <cell r="C451">
            <v>8010071452</v>
          </cell>
          <cell r="D451" t="str">
            <v>异径套(PPR 配件)印尼绿色 dn50x25 (1-1/2"x3/4") 联塑</v>
          </cell>
          <cell r="E451" t="str">
            <v>PPR Reducer dn50x25 (1-1/2"x3/4") Green(INA) - LESSO</v>
          </cell>
          <cell r="F451">
            <v>1</v>
          </cell>
          <cell r="G451">
            <v>6419</v>
          </cell>
          <cell r="H451">
            <v>5783</v>
          </cell>
          <cell r="I451">
            <v>0.12</v>
          </cell>
          <cell r="J451">
            <v>6572</v>
          </cell>
          <cell r="K451">
            <v>0.1</v>
          </cell>
          <cell r="L451">
            <v>6426</v>
          </cell>
        </row>
        <row r="452">
          <cell r="C452">
            <v>8010071453</v>
          </cell>
          <cell r="D452" t="str">
            <v>异径套(PPR 配件)印尼绿色 dn50x32 (1-1/2"x1") 联塑</v>
          </cell>
          <cell r="E452" t="str">
            <v>PPR Reducer dn50x32 (1-1/2"x1") Green(INA) - LESSO</v>
          </cell>
          <cell r="F452">
            <v>1</v>
          </cell>
          <cell r="G452">
            <v>6860</v>
          </cell>
          <cell r="H452">
            <v>6181</v>
          </cell>
          <cell r="I452">
            <v>0.12</v>
          </cell>
          <cell r="J452">
            <v>7024</v>
          </cell>
          <cell r="K452">
            <v>0.1</v>
          </cell>
          <cell r="L452">
            <v>6868</v>
          </cell>
        </row>
        <row r="453">
          <cell r="C453">
            <v>8010071454</v>
          </cell>
          <cell r="D453" t="str">
            <v>异径套(PPR 配件)印尼绿色 dn50x40 (1-1/2"x1-1/4") 联塑</v>
          </cell>
          <cell r="E453" t="str">
            <v>PPR Reducer dn50x40 (1-1/2"x1-1/4") Green(INA) - LESSO</v>
          </cell>
          <cell r="F453">
            <v>1</v>
          </cell>
          <cell r="G453">
            <v>8281</v>
          </cell>
          <cell r="H453">
            <v>7461</v>
          </cell>
          <cell r="I453">
            <v>0.12</v>
          </cell>
          <cell r="J453">
            <v>8479</v>
          </cell>
          <cell r="K453">
            <v>0.1</v>
          </cell>
          <cell r="L453">
            <v>8290</v>
          </cell>
        </row>
        <row r="454">
          <cell r="C454">
            <v>8010071455</v>
          </cell>
          <cell r="D454" t="str">
            <v>异径套(PPR 配件)印尼绿色 dn63x25 (2"x3/4") 联塑</v>
          </cell>
          <cell r="E454" t="str">
            <v>PPR Reducer dn63x25 (2"x3/4") Green(INA) - LESSO</v>
          </cell>
          <cell r="F454">
            <v>1</v>
          </cell>
          <cell r="G454">
            <v>10486</v>
          </cell>
          <cell r="H454">
            <v>9447</v>
          </cell>
          <cell r="I454">
            <v>0.12</v>
          </cell>
          <cell r="J454">
            <v>10736</v>
          </cell>
          <cell r="K454">
            <v>0.1</v>
          </cell>
          <cell r="L454">
            <v>10497</v>
          </cell>
        </row>
        <row r="455">
          <cell r="C455">
            <v>8010071456</v>
          </cell>
          <cell r="D455" t="str">
            <v>异径套(PPR 配件)印尼绿色 dn63x32 (2"x1") 联塑</v>
          </cell>
          <cell r="E455" t="str">
            <v>PPR Reducer dn63x32 (2"x1") Green(INA) - LESSO</v>
          </cell>
          <cell r="F455">
            <v>1</v>
          </cell>
          <cell r="G455">
            <v>10780</v>
          </cell>
          <cell r="H455">
            <v>9712</v>
          </cell>
          <cell r="I455">
            <v>0.12</v>
          </cell>
          <cell r="J455">
            <v>11037</v>
          </cell>
          <cell r="K455">
            <v>0.1</v>
          </cell>
          <cell r="L455">
            <v>10792</v>
          </cell>
        </row>
        <row r="456">
          <cell r="C456">
            <v>8010071457</v>
          </cell>
          <cell r="D456" t="str">
            <v>异径套(PPR 配件)印尼绿色 dn63x40 (2"x1-1/4") 联塑</v>
          </cell>
          <cell r="E456" t="str">
            <v>PPR Reducer dn63x40 (2"x1-1/4") Green(INA) - LESSO</v>
          </cell>
          <cell r="F456">
            <v>1</v>
          </cell>
          <cell r="G456">
            <v>11074</v>
          </cell>
          <cell r="H456">
            <v>9977</v>
          </cell>
          <cell r="I456">
            <v>0.12</v>
          </cell>
          <cell r="J456">
            <v>11338</v>
          </cell>
          <cell r="K456">
            <v>0.1</v>
          </cell>
          <cell r="L456">
            <v>11086</v>
          </cell>
        </row>
        <row r="457">
          <cell r="C457">
            <v>8010071458</v>
          </cell>
          <cell r="D457" t="str">
            <v>异径套(PPR 配件)印尼绿色 dn63x50 (2"x1-1/2") 联塑</v>
          </cell>
          <cell r="E457" t="str">
            <v>PPR Reducer dn63x50 (2"x1-1/2") Green(INA) - LESSO</v>
          </cell>
          <cell r="F457">
            <v>1</v>
          </cell>
          <cell r="G457">
            <v>11368</v>
          </cell>
          <cell r="H457">
            <v>10242</v>
          </cell>
          <cell r="I457">
            <v>0.12</v>
          </cell>
          <cell r="J457">
            <v>11639</v>
          </cell>
          <cell r="K457">
            <v>0.1</v>
          </cell>
          <cell r="L457">
            <v>11380</v>
          </cell>
        </row>
        <row r="458">
          <cell r="C458">
            <v>8010072361</v>
          </cell>
          <cell r="D458" t="str">
            <v>异径套(PPR 配件)印尼绿色 dn75x32 (2-1/2"x1") 联塑</v>
          </cell>
          <cell r="E458" t="str">
            <v>PPR REDUCER DN75x32 (2-1/2"x1") Green(INA) - LESSO</v>
          </cell>
          <cell r="F458">
            <v>1</v>
          </cell>
          <cell r="G458">
            <v>16170</v>
          </cell>
          <cell r="H458">
            <v>14568</v>
          </cell>
          <cell r="I458">
            <v>0.12</v>
          </cell>
          <cell r="J458">
            <v>16555</v>
          </cell>
          <cell r="K458">
            <v>0.1</v>
          </cell>
          <cell r="L458">
            <v>16187</v>
          </cell>
        </row>
        <row r="459">
          <cell r="C459">
            <v>8010071459</v>
          </cell>
          <cell r="D459" t="str">
            <v>异径套(PPR 配件)印尼绿色 dn75x40 (2-1/2"x1-1/4") 联塑</v>
          </cell>
          <cell r="E459" t="str">
            <v>PPR Reducer dn75x40 (2-1/2"x1-1/4") Green(INA) - LESSO</v>
          </cell>
          <cell r="F459">
            <v>1</v>
          </cell>
          <cell r="G459">
            <v>16856</v>
          </cell>
          <cell r="H459">
            <v>15186</v>
          </cell>
          <cell r="I459">
            <v>0.12</v>
          </cell>
          <cell r="J459">
            <v>17257</v>
          </cell>
          <cell r="K459">
            <v>0.1</v>
          </cell>
          <cell r="L459">
            <v>16874</v>
          </cell>
        </row>
        <row r="460">
          <cell r="C460">
            <v>8010071460</v>
          </cell>
          <cell r="D460" t="str">
            <v>异径套(PPR 配件)印尼绿色 dn75x50 (2-1/2"x1-1/2") 联塑</v>
          </cell>
          <cell r="E460" t="str">
            <v>PPR Reducer dn75x50 (2-1/2"x1-1/2") Green(INA) - LESSO</v>
          </cell>
          <cell r="F460">
            <v>1</v>
          </cell>
          <cell r="G460">
            <v>17444</v>
          </cell>
          <cell r="H460">
            <v>15716</v>
          </cell>
          <cell r="I460">
            <v>0.12</v>
          </cell>
          <cell r="J460">
            <v>17860</v>
          </cell>
          <cell r="K460">
            <v>0.1</v>
          </cell>
          <cell r="L460">
            <v>17463</v>
          </cell>
        </row>
        <row r="461">
          <cell r="C461">
            <v>8010071461</v>
          </cell>
          <cell r="D461" t="str">
            <v>异径套(PPR 配件)印尼绿色 dn75x63 (2-1/2"x2") 联塑</v>
          </cell>
          <cell r="E461" t="str">
            <v>PPR Reducer dn75x63 (2-1/2"x2") Green(INA) - LESSO</v>
          </cell>
          <cell r="F461">
            <v>1</v>
          </cell>
          <cell r="G461">
            <v>17738</v>
          </cell>
          <cell r="H461">
            <v>15981</v>
          </cell>
          <cell r="I461">
            <v>0.12</v>
          </cell>
          <cell r="J461">
            <v>18161</v>
          </cell>
          <cell r="K461">
            <v>0.1</v>
          </cell>
          <cell r="L461">
            <v>17757</v>
          </cell>
        </row>
        <row r="462">
          <cell r="C462">
            <v>8010071462</v>
          </cell>
          <cell r="D462" t="str">
            <v>异径套(PPR 配件)印尼绿色 dn90x40 (3"x1-1/4") 联塑</v>
          </cell>
          <cell r="E462" t="str">
            <v>PPR Reducer dn90x40 (3"x1-1/4") Green(INA) - LESSO</v>
          </cell>
          <cell r="F462">
            <v>1</v>
          </cell>
          <cell r="G462">
            <v>28518</v>
          </cell>
          <cell r="H462">
            <v>25692</v>
          </cell>
          <cell r="I462">
            <v>0.12</v>
          </cell>
          <cell r="J462">
            <v>29196</v>
          </cell>
          <cell r="K462">
            <v>0.1</v>
          </cell>
          <cell r="L462">
            <v>28547</v>
          </cell>
        </row>
        <row r="463">
          <cell r="C463">
            <v>8010071463</v>
          </cell>
          <cell r="D463" t="str">
            <v>异径套(PPR 配件)印尼绿色 dn90x50 (3"x1-1/2") 联塑</v>
          </cell>
          <cell r="E463" t="str">
            <v>PPR Reducer dn90x50 (3"x1-1/2") Green(INA) - LESSO</v>
          </cell>
          <cell r="F463">
            <v>1</v>
          </cell>
          <cell r="G463">
            <v>28812</v>
          </cell>
          <cell r="H463">
            <v>25957</v>
          </cell>
          <cell r="I463">
            <v>0.12</v>
          </cell>
          <cell r="J463">
            <v>29497</v>
          </cell>
          <cell r="K463">
            <v>0.1</v>
          </cell>
          <cell r="L463">
            <v>28842</v>
          </cell>
        </row>
        <row r="464">
          <cell r="C464">
            <v>8010071464</v>
          </cell>
          <cell r="D464" t="str">
            <v>异径套(PPR 配件)印尼绿色 dn90x63 (3"x2") 联塑</v>
          </cell>
          <cell r="E464" t="str">
            <v>PPR Reducer dn90x63 (3"x2") Green(INA) - LESSO</v>
          </cell>
          <cell r="F464">
            <v>1</v>
          </cell>
          <cell r="G464">
            <v>29988</v>
          </cell>
          <cell r="H464">
            <v>27017</v>
          </cell>
          <cell r="I464">
            <v>0.12</v>
          </cell>
          <cell r="J464">
            <v>30702</v>
          </cell>
          <cell r="K464">
            <v>0.1</v>
          </cell>
          <cell r="L464">
            <v>30019</v>
          </cell>
        </row>
        <row r="465">
          <cell r="C465">
            <v>8010071465</v>
          </cell>
          <cell r="D465" t="str">
            <v>异径套(PPR 配件)印尼绿色 dn90x75 (3"x2-1/2") 联塑</v>
          </cell>
          <cell r="E465" t="str">
            <v>PPR Reducer dn90x75 (3"x2-1/2") Green(INA) - LESSO</v>
          </cell>
          <cell r="F465">
            <v>1</v>
          </cell>
          <cell r="G465">
            <v>32144</v>
          </cell>
          <cell r="H465">
            <v>28959</v>
          </cell>
          <cell r="I465">
            <v>0.12</v>
          </cell>
          <cell r="J465">
            <v>32908</v>
          </cell>
          <cell r="K465">
            <v>0.1</v>
          </cell>
          <cell r="L465">
            <v>32177</v>
          </cell>
        </row>
        <row r="466">
          <cell r="C466">
            <v>8010071466</v>
          </cell>
          <cell r="D466" t="str">
            <v>异径套(PPR 配件)印尼绿色 dn110x50 (4"x1-1/2") 联塑</v>
          </cell>
          <cell r="E466" t="str">
            <v>PPR Reducer dn110x50 (4"x1-1/2") Green(INA) - LESSO</v>
          </cell>
          <cell r="F466">
            <v>1</v>
          </cell>
          <cell r="G466">
            <v>48314</v>
          </cell>
          <cell r="H466">
            <v>43527</v>
          </cell>
          <cell r="I466">
            <v>0.12</v>
          </cell>
          <cell r="J466">
            <v>49463</v>
          </cell>
          <cell r="K466">
            <v>0.1</v>
          </cell>
          <cell r="L466">
            <v>48364</v>
          </cell>
        </row>
        <row r="467">
          <cell r="C467">
            <v>8010071467</v>
          </cell>
          <cell r="D467" t="str">
            <v>异径套(PPR 配件)印尼绿色 dn110x63 (4"x2") 联塑</v>
          </cell>
          <cell r="E467" t="str">
            <v>PPR Reducer dn110x63 (4"x2") Green(INA) - LESSO</v>
          </cell>
          <cell r="F467">
            <v>1</v>
          </cell>
          <cell r="G467">
            <v>46550</v>
          </cell>
          <cell r="H467">
            <v>41937</v>
          </cell>
          <cell r="I467">
            <v>0.12</v>
          </cell>
          <cell r="J467">
            <v>47656</v>
          </cell>
          <cell r="K467">
            <v>0.1</v>
          </cell>
          <cell r="L467">
            <v>46597</v>
          </cell>
        </row>
        <row r="468">
          <cell r="C468">
            <v>8010071468</v>
          </cell>
          <cell r="D468" t="str">
            <v>异径套(PPR 配件)印尼绿色 dn110x75 (4"x2-1/2") 联塑</v>
          </cell>
          <cell r="E468" t="str">
            <v>PPR Reducer dn110x75 (4"x2-1/2") Green(INA) - LESSO</v>
          </cell>
          <cell r="F468">
            <v>1</v>
          </cell>
          <cell r="G468">
            <v>69090</v>
          </cell>
          <cell r="H468">
            <v>62244</v>
          </cell>
          <cell r="I468">
            <v>0.12</v>
          </cell>
          <cell r="J468">
            <v>70732</v>
          </cell>
          <cell r="K468">
            <v>0.1</v>
          </cell>
          <cell r="L468">
            <v>69160</v>
          </cell>
        </row>
        <row r="469">
          <cell r="C469">
            <v>8010071469</v>
          </cell>
          <cell r="D469" t="str">
            <v>异径套(PPR 配件)印尼绿色 dn110x90 (4"x3") 联塑</v>
          </cell>
          <cell r="E469" t="str">
            <v>PPR Reducer dn 110x90 (4"x3") Green(INA) - LESSO</v>
          </cell>
          <cell r="F469">
            <v>1</v>
          </cell>
          <cell r="G469">
            <v>52381</v>
          </cell>
          <cell r="H469">
            <v>47191</v>
          </cell>
          <cell r="I469">
            <v>0.12</v>
          </cell>
          <cell r="J469">
            <v>53627</v>
          </cell>
          <cell r="K469">
            <v>0.1</v>
          </cell>
          <cell r="L469">
            <v>52435</v>
          </cell>
        </row>
        <row r="470">
          <cell r="C470">
            <v>8010071470</v>
          </cell>
          <cell r="D470" t="str">
            <v>异径套(PPR 配件)印尼绿色 dn160x110 (6"x4") 联塑</v>
          </cell>
          <cell r="E470" t="str">
            <v>PPR Reducer dn160x110 (6"x4") Green(INA) - LESSO</v>
          </cell>
          <cell r="F470">
            <v>1</v>
          </cell>
          <cell r="G470">
            <v>162925</v>
          </cell>
          <cell r="H470">
            <v>146780</v>
          </cell>
          <cell r="I470">
            <v>0.12</v>
          </cell>
          <cell r="J470">
            <v>166796</v>
          </cell>
          <cell r="K470">
            <v>0.1</v>
          </cell>
          <cell r="L470">
            <v>163089</v>
          </cell>
        </row>
        <row r="471">
          <cell r="C471">
            <v>8010071331</v>
          </cell>
          <cell r="D471" t="str">
            <v>法兰套(PPR 配件)印尼绿色 dn40 (1-1/4") 联塑</v>
          </cell>
          <cell r="E471" t="str">
            <v>PPR Stub Flange dn40 (1-1/4") Green(INA) - LESSO</v>
          </cell>
          <cell r="F471">
            <v>1</v>
          </cell>
          <cell r="G471">
            <v>7301</v>
          </cell>
          <cell r="H471">
            <v>6578</v>
          </cell>
          <cell r="I471">
            <v>0.12</v>
          </cell>
          <cell r="J471">
            <v>7475</v>
          </cell>
          <cell r="K471">
            <v>0.1</v>
          </cell>
          <cell r="L471">
            <v>7309</v>
          </cell>
        </row>
        <row r="472">
          <cell r="C472">
            <v>8010071332</v>
          </cell>
          <cell r="D472" t="str">
            <v>法兰套(PPR 配件)印尼绿色 dn50 (1-1/2") 联塑</v>
          </cell>
          <cell r="E472" t="str">
            <v>PPR Stub Flange dn50 (1-1/2") Green(INA) - LESSO</v>
          </cell>
          <cell r="F472">
            <v>1</v>
          </cell>
          <cell r="G472">
            <v>10633</v>
          </cell>
          <cell r="H472">
            <v>9580</v>
          </cell>
          <cell r="I472">
            <v>0.12</v>
          </cell>
          <cell r="J472">
            <v>10887</v>
          </cell>
          <cell r="K472">
            <v>0.1</v>
          </cell>
          <cell r="L472">
            <v>10645</v>
          </cell>
        </row>
        <row r="473">
          <cell r="C473">
            <v>8010071333</v>
          </cell>
          <cell r="D473" t="str">
            <v>法兰套(PPR 配件)印尼绿色 dn63 (2") 联塑</v>
          </cell>
          <cell r="E473" t="str">
            <v>PPR Stub Flange dn63 (2") Green(INA) - LESSO</v>
          </cell>
          <cell r="F473">
            <v>1</v>
          </cell>
          <cell r="G473">
            <v>21560</v>
          </cell>
          <cell r="H473">
            <v>19424</v>
          </cell>
          <cell r="I473">
            <v>0.12</v>
          </cell>
          <cell r="J473">
            <v>22073</v>
          </cell>
          <cell r="K473">
            <v>0.1</v>
          </cell>
          <cell r="L473">
            <v>21583</v>
          </cell>
        </row>
        <row r="474">
          <cell r="C474">
            <v>8010071341</v>
          </cell>
          <cell r="D474" t="str">
            <v>法兰套(PPR 配件)印尼绿色 dn75 (2-1/2") 联塑</v>
          </cell>
          <cell r="E474" t="str">
            <v>PPR Stub Flange dn75 (2-1/2") Green(INA) - LESSO</v>
          </cell>
          <cell r="F474">
            <v>1</v>
          </cell>
          <cell r="G474">
            <v>24451</v>
          </cell>
          <cell r="H474">
            <v>22028</v>
          </cell>
          <cell r="I474">
            <v>0.12</v>
          </cell>
          <cell r="J474">
            <v>25032</v>
          </cell>
          <cell r="K474">
            <v>0.1</v>
          </cell>
          <cell r="L474">
            <v>24476</v>
          </cell>
        </row>
        <row r="475">
          <cell r="C475">
            <v>8010071334</v>
          </cell>
          <cell r="D475" t="str">
            <v>法兰套(PPR 配件)印尼绿色 dn90 (3") 联塑</v>
          </cell>
          <cell r="E475" t="str">
            <v>PPR Stub Flange dn90 (3") Green(INA) - LESSO</v>
          </cell>
          <cell r="F475">
            <v>1</v>
          </cell>
          <cell r="G475">
            <v>40768</v>
          </cell>
          <cell r="H475">
            <v>36728</v>
          </cell>
          <cell r="I475">
            <v>0.12</v>
          </cell>
          <cell r="J475">
            <v>41737</v>
          </cell>
          <cell r="K475">
            <v>0.1</v>
          </cell>
          <cell r="L475">
            <v>40809</v>
          </cell>
        </row>
        <row r="476">
          <cell r="C476">
            <v>8010071335</v>
          </cell>
          <cell r="D476" t="str">
            <v>法兰套(PPR 配件)印尼绿色 dn110 (4") 联塑</v>
          </cell>
          <cell r="E476" t="str">
            <v>PPR Stub Flange dn110 (4") Green(INA) - LESSO</v>
          </cell>
          <cell r="F476">
            <v>1</v>
          </cell>
          <cell r="G476">
            <v>65464</v>
          </cell>
          <cell r="H476">
            <v>58977</v>
          </cell>
          <cell r="I476">
            <v>0.12</v>
          </cell>
          <cell r="J476">
            <v>67020</v>
          </cell>
          <cell r="K476">
            <v>0.1</v>
          </cell>
          <cell r="L476">
            <v>65530</v>
          </cell>
        </row>
        <row r="477">
          <cell r="C477">
            <v>8010071336</v>
          </cell>
          <cell r="D477" t="str">
            <v>法兰套(PPR 配件)印尼绿色 dn160 (6") 联塑</v>
          </cell>
          <cell r="E477" t="str">
            <v>PPR Stub Flange dn160 (6") Green(INA) - LESSO</v>
          </cell>
          <cell r="F477">
            <v>1</v>
          </cell>
          <cell r="G477">
            <v>234220</v>
          </cell>
          <cell r="H477">
            <v>211010</v>
          </cell>
          <cell r="I477">
            <v>0.12</v>
          </cell>
          <cell r="J477">
            <v>239785</v>
          </cell>
          <cell r="K477">
            <v>0.1</v>
          </cell>
          <cell r="L477">
            <v>234456</v>
          </cell>
        </row>
        <row r="478">
          <cell r="C478" t="str">
            <v>DS70232</v>
          </cell>
          <cell r="D478" t="str">
            <v>dn110 法兰（钢托盘）- DS</v>
          </cell>
          <cell r="E478" t="str">
            <v>dn110 Flange (Steel Tray) - DS</v>
          </cell>
          <cell r="F478">
            <v>1</v>
          </cell>
          <cell r="G478">
            <v>124320</v>
          </cell>
          <cell r="H478">
            <v>112000</v>
          </cell>
          <cell r="I478">
            <v>0.2</v>
          </cell>
          <cell r="J478">
            <v>140000</v>
          </cell>
          <cell r="K478">
            <v>0.2</v>
          </cell>
          <cell r="L478">
            <v>140000</v>
          </cell>
        </row>
        <row r="479">
          <cell r="C479" t="str">
            <v>DS70233</v>
          </cell>
          <cell r="D479" t="str">
            <v>dn160 法兰（钢托盘）- DS</v>
          </cell>
          <cell r="E479" t="str">
            <v>dn160 Flange (Steel Tray) - DS</v>
          </cell>
          <cell r="F479">
            <v>1</v>
          </cell>
          <cell r="G479">
            <v>213120</v>
          </cell>
          <cell r="H479">
            <v>192000</v>
          </cell>
          <cell r="I479">
            <v>0.2</v>
          </cell>
          <cell r="J479">
            <v>240000</v>
          </cell>
          <cell r="K479">
            <v>0.2</v>
          </cell>
          <cell r="L479">
            <v>240000</v>
          </cell>
        </row>
        <row r="480">
          <cell r="C480" t="str">
            <v>DS70234</v>
          </cell>
          <cell r="D480" t="str">
            <v>dn40 法兰（钢托盘）- DS</v>
          </cell>
          <cell r="E480" t="str">
            <v>dn40 Flange (Steel Tray) - DS</v>
          </cell>
          <cell r="F480">
            <v>1</v>
          </cell>
          <cell r="G480">
            <v>49950</v>
          </cell>
          <cell r="H480">
            <v>45000</v>
          </cell>
          <cell r="I480">
            <v>0.2</v>
          </cell>
          <cell r="J480">
            <v>56250</v>
          </cell>
          <cell r="K480">
            <v>0.2</v>
          </cell>
          <cell r="L480">
            <v>56250</v>
          </cell>
        </row>
        <row r="481">
          <cell r="C481" t="str">
            <v>DS70235</v>
          </cell>
          <cell r="D481" t="str">
            <v>dn50 法兰（钢托盘）- DS</v>
          </cell>
          <cell r="E481" t="str">
            <v>dn50 Flange (Steel Tray) - DS</v>
          </cell>
          <cell r="F481">
            <v>1</v>
          </cell>
          <cell r="G481">
            <v>53280</v>
          </cell>
          <cell r="H481">
            <v>48000</v>
          </cell>
          <cell r="I481">
            <v>0.2</v>
          </cell>
          <cell r="J481">
            <v>60000</v>
          </cell>
          <cell r="K481">
            <v>0.2</v>
          </cell>
          <cell r="L481">
            <v>60000</v>
          </cell>
        </row>
        <row r="482">
          <cell r="C482" t="str">
            <v>DS70236</v>
          </cell>
          <cell r="D482" t="str">
            <v>dn63 法兰（钢托盘）- DS</v>
          </cell>
          <cell r="E482" t="str">
            <v>dn63 Flange (Steel Tray) - DS</v>
          </cell>
          <cell r="F482">
            <v>1</v>
          </cell>
          <cell r="G482">
            <v>57720</v>
          </cell>
          <cell r="H482">
            <v>52000</v>
          </cell>
          <cell r="I482">
            <v>0.2</v>
          </cell>
          <cell r="J482">
            <v>65000</v>
          </cell>
          <cell r="K482">
            <v>0.2</v>
          </cell>
          <cell r="L482">
            <v>65000</v>
          </cell>
        </row>
        <row r="483">
          <cell r="C483" t="str">
            <v>DS70237</v>
          </cell>
          <cell r="D483" t="str">
            <v>dn75 法兰（钢托盘）- DS</v>
          </cell>
          <cell r="E483" t="str">
            <v>dn75 Flange (Steel Tray) - DS</v>
          </cell>
          <cell r="F483">
            <v>1</v>
          </cell>
          <cell r="G483">
            <v>85470</v>
          </cell>
          <cell r="H483">
            <v>77000</v>
          </cell>
          <cell r="I483">
            <v>0.2</v>
          </cell>
          <cell r="J483">
            <v>96250</v>
          </cell>
          <cell r="K483">
            <v>0.2</v>
          </cell>
          <cell r="L483">
            <v>96250</v>
          </cell>
        </row>
        <row r="484">
          <cell r="C484" t="str">
            <v>DS70238</v>
          </cell>
          <cell r="D484" t="str">
            <v>dn90 法兰（钢托盘）- DS</v>
          </cell>
          <cell r="E484" t="str">
            <v>dn90 Flange (Steel Tray) - DS</v>
          </cell>
          <cell r="F484">
            <v>1</v>
          </cell>
          <cell r="G484">
            <v>106560</v>
          </cell>
          <cell r="H484">
            <v>96000</v>
          </cell>
          <cell r="I484">
            <v>0.2</v>
          </cell>
          <cell r="J484">
            <v>120000</v>
          </cell>
          <cell r="K484">
            <v>0.2</v>
          </cell>
          <cell r="L484">
            <v>120000</v>
          </cell>
        </row>
        <row r="485">
          <cell r="C485" t="str">
            <v>6900010080150</v>
          </cell>
          <cell r="D485" t="str">
            <v>4.8级镀锌（一套4个螺栓）</v>
          </cell>
          <cell r="E485" t="str">
            <v>4.8 hex bolt+nut  M16 X 80 MM (dn40,50,63,75) (Galvanis)</v>
          </cell>
          <cell r="F485">
            <v>1</v>
          </cell>
          <cell r="G485">
            <v>4495.5</v>
          </cell>
          <cell r="H485">
            <v>4050</v>
          </cell>
          <cell r="I485">
            <v>0.5</v>
          </cell>
          <cell r="J485">
            <v>8100</v>
          </cell>
          <cell r="K485">
            <v>0.5</v>
          </cell>
          <cell r="L485">
            <v>8100</v>
          </cell>
        </row>
        <row r="486">
          <cell r="C486" t="str">
            <v>6900010080217</v>
          </cell>
          <cell r="D486" t="str">
            <v>8.8级外六角螺栓</v>
          </cell>
          <cell r="E486" t="str">
            <v>8.8 hex bolt+nut  M16 X 80 MM (dn40,50,63,75) (Baja)</v>
          </cell>
          <cell r="F486">
            <v>1</v>
          </cell>
          <cell r="G486">
            <v>7248.3</v>
          </cell>
          <cell r="H486">
            <v>6530</v>
          </cell>
          <cell r="I486">
            <v>0.2</v>
          </cell>
          <cell r="J486">
            <v>8163</v>
          </cell>
          <cell r="K486">
            <v>0.2</v>
          </cell>
          <cell r="L486">
            <v>8163</v>
          </cell>
        </row>
        <row r="487">
          <cell r="C487" t="str">
            <v>6900010080151</v>
          </cell>
          <cell r="D487" t="str">
            <v>4.8级镀锌（一套8个螺栓）</v>
          </cell>
          <cell r="E487" t="str">
            <v>4.8 hex bolt+nut  M16 X 100 MM (dn90, dn110) (Galvanis)</v>
          </cell>
          <cell r="F487">
            <v>1</v>
          </cell>
          <cell r="G487">
            <v>5239.2</v>
          </cell>
          <cell r="H487">
            <v>4720</v>
          </cell>
          <cell r="I487">
            <v>0.5</v>
          </cell>
          <cell r="J487">
            <v>9440</v>
          </cell>
          <cell r="K487">
            <v>0.5</v>
          </cell>
          <cell r="L487">
            <v>9440</v>
          </cell>
        </row>
        <row r="488">
          <cell r="C488" t="str">
            <v>6900010080218</v>
          </cell>
          <cell r="D488" t="str">
            <v>8.8级外六角螺栓</v>
          </cell>
          <cell r="E488" t="str">
            <v>8.8 hex bolt+nut  M16 X 100 MM (dn90, dn110)</v>
          </cell>
          <cell r="F488">
            <v>1</v>
          </cell>
          <cell r="G488">
            <v>8802.3</v>
          </cell>
          <cell r="H488">
            <v>7930</v>
          </cell>
          <cell r="I488">
            <v>0.2</v>
          </cell>
          <cell r="J488">
            <v>9913</v>
          </cell>
          <cell r="K488">
            <v>0.2</v>
          </cell>
          <cell r="L488">
            <v>9913</v>
          </cell>
        </row>
        <row r="489">
          <cell r="C489" t="str">
            <v>6900010080283</v>
          </cell>
        </row>
        <row r="489">
          <cell r="E489" t="str">
            <v>4.8 hex bolt+nut  M20 X 150 MM (dn160) (Galvanis)</v>
          </cell>
          <cell r="F489">
            <v>1</v>
          </cell>
          <cell r="G489">
            <v>15073.8</v>
          </cell>
          <cell r="H489">
            <v>13580</v>
          </cell>
          <cell r="I489">
            <v>0.5</v>
          </cell>
          <cell r="J489">
            <v>27160</v>
          </cell>
          <cell r="K489">
            <v>0.5</v>
          </cell>
          <cell r="L489">
            <v>27160</v>
          </cell>
        </row>
        <row r="490">
          <cell r="C490" t="str">
            <v>6900010080230</v>
          </cell>
          <cell r="D490" t="str">
            <v>8.8级外六角螺栓</v>
          </cell>
          <cell r="E490" t="str">
            <v>8.8 hex bolt+nut  M20 X 150 MM (Baja) (dn160)</v>
          </cell>
          <cell r="F490">
            <v>1</v>
          </cell>
          <cell r="G490">
            <v>19480.5</v>
          </cell>
          <cell r="H490">
            <v>17550</v>
          </cell>
          <cell r="I490">
            <v>0.2</v>
          </cell>
          <cell r="J490">
            <v>21938</v>
          </cell>
          <cell r="K490">
            <v>0.2</v>
          </cell>
          <cell r="L490">
            <v>21938</v>
          </cell>
        </row>
        <row r="491">
          <cell r="D491" t="str">
            <v>dn40 法兰（PPR托盘）- DIZAYN</v>
          </cell>
          <cell r="E491" t="str">
            <v>dn40 Flange DISC PPR PN25</v>
          </cell>
          <cell r="F491">
            <v>0</v>
          </cell>
          <cell r="G491">
            <v>0</v>
          </cell>
          <cell r="H491">
            <v>0</v>
          </cell>
          <cell r="I491">
            <v>0.2</v>
          </cell>
          <cell r="J491">
            <v>0</v>
          </cell>
          <cell r="K491">
            <v>0.2</v>
          </cell>
          <cell r="L491">
            <v>0</v>
          </cell>
        </row>
        <row r="492">
          <cell r="D492" t="str">
            <v>dn50 法兰（PPR托盘）- DIZAYN</v>
          </cell>
          <cell r="E492" t="str">
            <v>dn50 Flange DISC PPR PN25</v>
          </cell>
          <cell r="F492">
            <v>0</v>
          </cell>
          <cell r="G492">
            <v>0</v>
          </cell>
          <cell r="H492">
            <v>0</v>
          </cell>
          <cell r="I492">
            <v>0.2</v>
          </cell>
          <cell r="J492">
            <v>0</v>
          </cell>
          <cell r="K492">
            <v>0.2</v>
          </cell>
          <cell r="L492">
            <v>0</v>
          </cell>
        </row>
        <row r="493">
          <cell r="D493" t="str">
            <v>dn63 法兰（PPR托盘）- DIZAYN</v>
          </cell>
          <cell r="E493" t="str">
            <v>dn63 Flange DISC PPR PN25</v>
          </cell>
          <cell r="F493">
            <v>0</v>
          </cell>
          <cell r="G493">
            <v>0</v>
          </cell>
          <cell r="H493">
            <v>0</v>
          </cell>
          <cell r="I493">
            <v>0.2</v>
          </cell>
          <cell r="J493">
            <v>0</v>
          </cell>
          <cell r="K493">
            <v>0.2</v>
          </cell>
          <cell r="L493">
            <v>0</v>
          </cell>
        </row>
        <row r="494">
          <cell r="D494" t="str">
            <v>dn75 法兰（PPR托盘）- DIZAYN</v>
          </cell>
          <cell r="E494" t="str">
            <v>dn75 Flange DISC PPR PN25</v>
          </cell>
          <cell r="F494">
            <v>0</v>
          </cell>
          <cell r="G494">
            <v>0</v>
          </cell>
          <cell r="H494">
            <v>0</v>
          </cell>
          <cell r="I494">
            <v>0.2</v>
          </cell>
          <cell r="J494">
            <v>0</v>
          </cell>
          <cell r="K494">
            <v>0.2</v>
          </cell>
          <cell r="L494">
            <v>0</v>
          </cell>
        </row>
        <row r="495">
          <cell r="D495" t="str">
            <v>dn90 法兰（PPR托盘）- DIZAYN</v>
          </cell>
          <cell r="E495" t="str">
            <v>dn90 Flange DISC PPR PN25</v>
          </cell>
          <cell r="F495">
            <v>0</v>
          </cell>
          <cell r="G495">
            <v>0</v>
          </cell>
          <cell r="H495">
            <v>0</v>
          </cell>
          <cell r="I495">
            <v>0.2</v>
          </cell>
          <cell r="J495">
            <v>0</v>
          </cell>
          <cell r="K495">
            <v>0.2</v>
          </cell>
          <cell r="L495">
            <v>0</v>
          </cell>
        </row>
        <row r="496">
          <cell r="D496" t="str">
            <v>dn110 法兰（PPR托盘）- DIZAYN</v>
          </cell>
          <cell r="E496" t="str">
            <v>dn110 Flange DISC PPR PN25</v>
          </cell>
          <cell r="F496">
            <v>0</v>
          </cell>
          <cell r="G496">
            <v>0</v>
          </cell>
          <cell r="H496">
            <v>0</v>
          </cell>
          <cell r="I496">
            <v>0.2</v>
          </cell>
          <cell r="J496">
            <v>0</v>
          </cell>
          <cell r="K496">
            <v>0.2</v>
          </cell>
          <cell r="L496">
            <v>0</v>
          </cell>
        </row>
        <row r="497">
          <cell r="D497" t="str">
            <v>dn125 法兰（PPR托盘）- DIZAYN</v>
          </cell>
          <cell r="E497" t="str">
            <v>dn125 Flange DISC PPR PN25</v>
          </cell>
          <cell r="F497">
            <v>0</v>
          </cell>
          <cell r="G497">
            <v>0</v>
          </cell>
          <cell r="H497">
            <v>0</v>
          </cell>
          <cell r="I497">
            <v>0.2</v>
          </cell>
          <cell r="J497">
            <v>0</v>
          </cell>
          <cell r="K497">
            <v>0.2</v>
          </cell>
          <cell r="L497">
            <v>0</v>
          </cell>
        </row>
        <row r="498">
          <cell r="D498" t="str">
            <v>dn160 法兰（PPR托盘）- DIZAYN</v>
          </cell>
          <cell r="E498" t="str">
            <v>dn160 Flange DISC PPR PN25</v>
          </cell>
          <cell r="F498">
            <v>0</v>
          </cell>
          <cell r="G498">
            <v>0</v>
          </cell>
          <cell r="H498">
            <v>0</v>
          </cell>
          <cell r="I498">
            <v>0.2</v>
          </cell>
          <cell r="J498">
            <v>0</v>
          </cell>
          <cell r="K498">
            <v>0.2</v>
          </cell>
          <cell r="L498">
            <v>0</v>
          </cell>
        </row>
        <row r="499">
          <cell r="C499">
            <v>8010070749</v>
          </cell>
          <cell r="D499" t="str">
            <v>法兰橡胶垫圈(PPR 配件)黑色 dn40 (1-1/4") 联塑</v>
          </cell>
          <cell r="E499" t="str">
            <v>PPR Rubber Gasket dn40 (1-1/4") Black - LESSO</v>
          </cell>
          <cell r="F499">
            <v>1</v>
          </cell>
          <cell r="G499">
            <v>2058</v>
          </cell>
          <cell r="H499">
            <v>1855</v>
          </cell>
          <cell r="I499">
            <v>0.2</v>
          </cell>
          <cell r="J499">
            <v>2319</v>
          </cell>
          <cell r="K499">
            <v>0.2</v>
          </cell>
          <cell r="L499">
            <v>2319</v>
          </cell>
        </row>
        <row r="500">
          <cell r="C500">
            <v>8010070750</v>
          </cell>
          <cell r="D500" t="str">
            <v>法兰橡胶垫圈(PPR 配件)黑色 dn50 (1-1/2") 联塑</v>
          </cell>
          <cell r="E500" t="str">
            <v>PPR Rubber Gasket dn50 (1-1/2") Black - LESSO</v>
          </cell>
          <cell r="F500">
            <v>1</v>
          </cell>
          <cell r="G500">
            <v>3871</v>
          </cell>
          <cell r="H500">
            <v>3488</v>
          </cell>
          <cell r="I500">
            <v>0.12</v>
          </cell>
          <cell r="J500">
            <v>3964</v>
          </cell>
          <cell r="K500">
            <v>0.2</v>
          </cell>
          <cell r="L500">
            <v>4360</v>
          </cell>
        </row>
        <row r="501">
          <cell r="C501">
            <v>8010070751</v>
          </cell>
          <cell r="D501" t="str">
            <v>法兰橡胶垫圈(PPR 配件)黑色 dn63 (2") 联塑</v>
          </cell>
          <cell r="E501" t="str">
            <v>PPR Rubber Gasket dn63 (2") Black - LESSO</v>
          </cell>
          <cell r="F501">
            <v>1</v>
          </cell>
          <cell r="G501">
            <v>4116</v>
          </cell>
          <cell r="H501">
            <v>3709</v>
          </cell>
          <cell r="I501">
            <v>0.12</v>
          </cell>
          <cell r="J501">
            <v>4215</v>
          </cell>
          <cell r="K501">
            <v>0.1</v>
          </cell>
          <cell r="L501">
            <v>4122</v>
          </cell>
        </row>
        <row r="502">
          <cell r="C502">
            <v>8010070752</v>
          </cell>
          <cell r="D502" t="str">
            <v>法兰橡胶垫圈(PPR 配件)黑色 dn75 (2-1/2") 联塑</v>
          </cell>
          <cell r="E502" t="str">
            <v>PPR Rubber Gasket dn75 (2-1/2") Black - LESSO</v>
          </cell>
          <cell r="F502">
            <v>1</v>
          </cell>
          <cell r="G502">
            <v>6125</v>
          </cell>
          <cell r="H502">
            <v>5519</v>
          </cell>
          <cell r="I502">
            <v>0.12</v>
          </cell>
          <cell r="J502">
            <v>6272</v>
          </cell>
          <cell r="K502">
            <v>0.1</v>
          </cell>
          <cell r="L502">
            <v>6133</v>
          </cell>
        </row>
        <row r="503">
          <cell r="C503">
            <v>8010070753</v>
          </cell>
          <cell r="D503" t="str">
            <v>法兰橡胶垫圈(PPR 配件)黑色 dn90 (3") 联塑</v>
          </cell>
          <cell r="E503" t="str">
            <v>PPR Rubber Gasket dn90 (3") Black - LESSO</v>
          </cell>
          <cell r="F503">
            <v>1</v>
          </cell>
          <cell r="G503">
            <v>7301</v>
          </cell>
          <cell r="H503">
            <v>6578</v>
          </cell>
          <cell r="I503">
            <v>0.12</v>
          </cell>
          <cell r="J503">
            <v>7475</v>
          </cell>
          <cell r="K503">
            <v>0.1</v>
          </cell>
          <cell r="L503">
            <v>7309</v>
          </cell>
        </row>
        <row r="504">
          <cell r="C504">
            <v>8010070747</v>
          </cell>
          <cell r="D504" t="str">
            <v>法兰橡胶垫圈(PPR 配件)黑色 dn110 (4") 联塑</v>
          </cell>
          <cell r="E504" t="str">
            <v>PPR Rubber Gasket dn110 (4") Black - LESSO</v>
          </cell>
          <cell r="F504">
            <v>1</v>
          </cell>
          <cell r="G504">
            <v>8281</v>
          </cell>
          <cell r="H504">
            <v>7461</v>
          </cell>
          <cell r="I504">
            <v>0.12</v>
          </cell>
          <cell r="J504">
            <v>8479</v>
          </cell>
          <cell r="K504">
            <v>0.1</v>
          </cell>
          <cell r="L504">
            <v>8290</v>
          </cell>
        </row>
        <row r="505">
          <cell r="C505">
            <v>8010070748</v>
          </cell>
          <cell r="D505" t="str">
            <v>法兰橡胶垫圈(PPR 配件)黑色 dn160 (6") 联塑</v>
          </cell>
          <cell r="E505" t="str">
            <v>PPR Rubber Gasket dn160 (6") Black - LESSO</v>
          </cell>
          <cell r="F505">
            <v>1</v>
          </cell>
          <cell r="G505">
            <v>14553</v>
          </cell>
          <cell r="H505">
            <v>13111</v>
          </cell>
          <cell r="I505">
            <v>0.12</v>
          </cell>
          <cell r="J505">
            <v>14899</v>
          </cell>
          <cell r="K505">
            <v>0.1</v>
          </cell>
          <cell r="L505">
            <v>14568</v>
          </cell>
        </row>
        <row r="506">
          <cell r="C506">
            <v>8010071443</v>
          </cell>
          <cell r="D506" t="str">
            <v>45°弯头(PPR 配件)印尼绿色 dn110 (4") 联塑</v>
          </cell>
          <cell r="E506" t="str">
            <v>PPR 45° Elbow dn110 (4") Green(INA) - LESSO</v>
          </cell>
          <cell r="F506">
            <v>1</v>
          </cell>
          <cell r="G506">
            <v>90209</v>
          </cell>
          <cell r="H506">
            <v>81270</v>
          </cell>
          <cell r="I506">
            <v>0.12</v>
          </cell>
          <cell r="J506">
            <v>92353</v>
          </cell>
          <cell r="K506">
            <v>0.1</v>
          </cell>
          <cell r="L506">
            <v>90300</v>
          </cell>
        </row>
        <row r="507">
          <cell r="C507">
            <v>8010072707</v>
          </cell>
          <cell r="D507" t="str">
            <v>45°弯头(PPR 配件)印尼绿色 dn16 联塑</v>
          </cell>
          <cell r="E507" t="str">
            <v>PPR 45° Elbow dn16 Green(INA) - LESSO</v>
          </cell>
          <cell r="F507">
            <v>1</v>
          </cell>
          <cell r="G507">
            <v>1029</v>
          </cell>
          <cell r="H507">
            <v>928</v>
          </cell>
          <cell r="I507">
            <v>0.12</v>
          </cell>
          <cell r="J507">
            <v>1055</v>
          </cell>
          <cell r="K507">
            <v>0.1</v>
          </cell>
          <cell r="L507">
            <v>1032</v>
          </cell>
        </row>
        <row r="508">
          <cell r="C508">
            <v>8010071444</v>
          </cell>
          <cell r="D508" t="str">
            <v>45°弯头(PPR 配件)印尼绿色 dn160 (6") 联塑</v>
          </cell>
          <cell r="E508" t="str">
            <v>PPR 45° Elbow dn160 (6") Green(INA) - LESSO</v>
          </cell>
          <cell r="F508">
            <v>1</v>
          </cell>
          <cell r="G508">
            <v>331681</v>
          </cell>
          <cell r="H508">
            <v>298812</v>
          </cell>
          <cell r="I508">
            <v>0.12</v>
          </cell>
          <cell r="J508">
            <v>339560</v>
          </cell>
          <cell r="K508">
            <v>0.1</v>
          </cell>
          <cell r="L508">
            <v>332014</v>
          </cell>
        </row>
        <row r="509">
          <cell r="C509">
            <v>8010071435</v>
          </cell>
          <cell r="D509" t="str">
            <v>45°弯头(PPR 配件)印尼绿色 dn20 (1/2") 联塑</v>
          </cell>
          <cell r="E509" t="str">
            <v>PPR 45° Elbow dn20 (1/2") Green(INA) - LESSO</v>
          </cell>
          <cell r="F509">
            <v>1</v>
          </cell>
          <cell r="G509">
            <v>1323</v>
          </cell>
          <cell r="H509">
            <v>1192</v>
          </cell>
          <cell r="I509">
            <v>0.12</v>
          </cell>
          <cell r="J509">
            <v>1355</v>
          </cell>
          <cell r="K509">
            <v>0.1</v>
          </cell>
          <cell r="L509">
            <v>1325</v>
          </cell>
        </row>
        <row r="510">
          <cell r="C510">
            <v>8010071436</v>
          </cell>
          <cell r="D510" t="str">
            <v>45°弯头(PPR 配件)印尼绿色 dn25 (3/4") 联塑</v>
          </cell>
          <cell r="E510" t="str">
            <v>PPR 45° Elbow dn25 (3/4") Green(INA) - LESSO</v>
          </cell>
          <cell r="F510">
            <v>1</v>
          </cell>
          <cell r="G510">
            <v>1911</v>
          </cell>
          <cell r="H510">
            <v>1722</v>
          </cell>
          <cell r="I510">
            <v>0.12</v>
          </cell>
          <cell r="J510">
            <v>1957</v>
          </cell>
          <cell r="K510">
            <v>0.1</v>
          </cell>
          <cell r="L510">
            <v>1914</v>
          </cell>
        </row>
        <row r="511">
          <cell r="C511">
            <v>8010071437</v>
          </cell>
          <cell r="D511" t="str">
            <v>45°弯头(PPR 配件)印尼绿色 dn32 (1") 联塑</v>
          </cell>
          <cell r="E511" t="str">
            <v>PPR 45° Elbow dn32 (1") Green(INA) - LESSO</v>
          </cell>
          <cell r="F511">
            <v>1</v>
          </cell>
          <cell r="G511">
            <v>3577</v>
          </cell>
          <cell r="H511">
            <v>3223</v>
          </cell>
          <cell r="I511">
            <v>0.12</v>
          </cell>
          <cell r="J511">
            <v>3663</v>
          </cell>
          <cell r="K511">
            <v>0.1</v>
          </cell>
          <cell r="L511">
            <v>3582</v>
          </cell>
        </row>
        <row r="512">
          <cell r="C512">
            <v>8010071438</v>
          </cell>
          <cell r="D512" t="str">
            <v>45°弯头(PPR 配件)印尼绿色 dn40 (1-1/4") 联塑</v>
          </cell>
          <cell r="E512" t="str">
            <v>PPR 45° Elbow dn40 (1-1/4") Green(INA) - LESSO</v>
          </cell>
          <cell r="F512">
            <v>1</v>
          </cell>
          <cell r="G512">
            <v>6713</v>
          </cell>
          <cell r="H512">
            <v>6048</v>
          </cell>
          <cell r="I512">
            <v>0.12</v>
          </cell>
          <cell r="J512">
            <v>6873</v>
          </cell>
          <cell r="K512">
            <v>0.1</v>
          </cell>
          <cell r="L512">
            <v>6720</v>
          </cell>
        </row>
        <row r="513">
          <cell r="C513">
            <v>8010071439</v>
          </cell>
          <cell r="D513" t="str">
            <v>45°弯头(PPR 配件)印尼绿色 dn50 (1-1/2") 联塑</v>
          </cell>
          <cell r="E513" t="str">
            <v>PPR 45° Elbow dn50 (1-1/2") Green(INA) - LESSO</v>
          </cell>
          <cell r="F513">
            <v>1</v>
          </cell>
          <cell r="G513">
            <v>15386</v>
          </cell>
          <cell r="H513">
            <v>13862</v>
          </cell>
          <cell r="I513">
            <v>0.12</v>
          </cell>
          <cell r="J513">
            <v>15753</v>
          </cell>
          <cell r="K513">
            <v>0.1</v>
          </cell>
          <cell r="L513">
            <v>15403</v>
          </cell>
        </row>
        <row r="514">
          <cell r="C514">
            <v>8010071440</v>
          </cell>
          <cell r="D514" t="str">
            <v>45°弯头(PPR 配件)印尼绿色 dn63 (2") 联塑</v>
          </cell>
          <cell r="E514" t="str">
            <v>PPR 45° Elbow dn63 (2") Green(INA) - LESSO</v>
          </cell>
          <cell r="F514">
            <v>1</v>
          </cell>
          <cell r="G514">
            <v>17493</v>
          </cell>
          <cell r="H514">
            <v>15760</v>
          </cell>
          <cell r="I514">
            <v>0.12</v>
          </cell>
          <cell r="J514">
            <v>17910</v>
          </cell>
          <cell r="K514">
            <v>0.1</v>
          </cell>
          <cell r="L514">
            <v>17512</v>
          </cell>
        </row>
        <row r="515">
          <cell r="C515">
            <v>8010071441</v>
          </cell>
          <cell r="D515" t="str">
            <v>45°弯头(PPR 配件)印尼绿色 dn75 (2-1/2") 联塑</v>
          </cell>
          <cell r="E515" t="str">
            <v>PPR 45° Elbow dn75 (2-1/2") Green(INA) - LESSO</v>
          </cell>
          <cell r="F515">
            <v>1</v>
          </cell>
          <cell r="G515">
            <v>33173</v>
          </cell>
          <cell r="H515">
            <v>29886</v>
          </cell>
          <cell r="I515">
            <v>0.12</v>
          </cell>
          <cell r="J515">
            <v>33962</v>
          </cell>
          <cell r="K515">
            <v>0.1</v>
          </cell>
          <cell r="L515">
            <v>33207</v>
          </cell>
        </row>
        <row r="516">
          <cell r="C516">
            <v>8010071442</v>
          </cell>
          <cell r="D516" t="str">
            <v>45°弯头(PPR 配件)印尼绿色 dn90 (3") 联塑</v>
          </cell>
          <cell r="E516" t="str">
            <v>PPR 45° Elbow dn90 (3") Green(INA) - LESSO</v>
          </cell>
          <cell r="F516">
            <v>1</v>
          </cell>
          <cell r="G516">
            <v>74186</v>
          </cell>
          <cell r="H516">
            <v>66835</v>
          </cell>
          <cell r="I516">
            <v>0.12</v>
          </cell>
          <cell r="J516">
            <v>75949</v>
          </cell>
          <cell r="K516">
            <v>0.1</v>
          </cell>
          <cell r="L516">
            <v>74262</v>
          </cell>
        </row>
        <row r="517">
          <cell r="C517">
            <v>8010072469</v>
          </cell>
          <cell r="D517" t="str">
            <v>45°异径弯头(PPR 配件)印尼绿色 dn25x20 (3/4"x1/2") 联塑</v>
          </cell>
          <cell r="E517" t="str">
            <v>PPR 45° Reducing Elbow dn25x20 (3/4"x1/2") Green(INA) - LESSO</v>
          </cell>
          <cell r="F517">
            <v>1</v>
          </cell>
          <cell r="G517">
            <v>1862</v>
          </cell>
          <cell r="H517">
            <v>1678</v>
          </cell>
          <cell r="I517">
            <v>0.12</v>
          </cell>
          <cell r="J517">
            <v>1907</v>
          </cell>
          <cell r="K517">
            <v>0.1</v>
          </cell>
          <cell r="L517">
            <v>1865</v>
          </cell>
        </row>
        <row r="518">
          <cell r="C518">
            <v>8010072470</v>
          </cell>
          <cell r="D518" t="str">
            <v>45°异径弯头(PPR 配件)印尼绿色 dn32x20 (1"x1/2") 联塑</v>
          </cell>
          <cell r="E518" t="str">
            <v>PPR 45° Reducing Elbow dn32x20 (1"x1/2") Green(INA) - LESSO</v>
          </cell>
          <cell r="F518">
            <v>1</v>
          </cell>
          <cell r="G518">
            <v>2450</v>
          </cell>
          <cell r="H518">
            <v>2208</v>
          </cell>
          <cell r="I518">
            <v>0.12</v>
          </cell>
          <cell r="J518">
            <v>2510</v>
          </cell>
          <cell r="K518">
            <v>0.1</v>
          </cell>
          <cell r="L518">
            <v>2454</v>
          </cell>
        </row>
        <row r="519">
          <cell r="C519">
            <v>8010072471</v>
          </cell>
          <cell r="D519" t="str">
            <v>45°异径弯头(PPR 配件)印尼绿色 dn32x25 (1"x3/4") 联塑</v>
          </cell>
          <cell r="E519" t="str">
            <v>PPR 45° Reducing Elbow dn32x25 (1"x3/4") Green(INA) - LESSO</v>
          </cell>
          <cell r="F519">
            <v>1</v>
          </cell>
          <cell r="G519">
            <v>3087</v>
          </cell>
          <cell r="H519">
            <v>2782</v>
          </cell>
          <cell r="I519">
            <v>0.12</v>
          </cell>
          <cell r="J519">
            <v>3162</v>
          </cell>
          <cell r="K519">
            <v>0.1</v>
          </cell>
          <cell r="L519">
            <v>3092</v>
          </cell>
        </row>
        <row r="520">
          <cell r="C520">
            <v>8010072782</v>
          </cell>
          <cell r="D520" t="str">
            <v>45°异径弯头(PPR 配件)印尼绿色 dn40x20 (1-1/4"x1/2") 联塑</v>
          </cell>
          <cell r="E520" t="str">
            <v>PPR 45° Reducing Elbow dn40x20 (1-1/4"x1/2") Green(INA) - LESSO</v>
          </cell>
          <cell r="F520">
            <v>1</v>
          </cell>
          <cell r="G520">
            <v>3969</v>
          </cell>
          <cell r="H520">
            <v>3576</v>
          </cell>
          <cell r="I520">
            <v>0.12</v>
          </cell>
          <cell r="J520">
            <v>4064</v>
          </cell>
          <cell r="K520">
            <v>0.1</v>
          </cell>
          <cell r="L520">
            <v>3974</v>
          </cell>
        </row>
        <row r="521">
          <cell r="C521">
            <v>8010072783</v>
          </cell>
          <cell r="D521" t="str">
            <v>45°异径弯头(PPR 配件)印尼绿色 dn40x25 (1-1/4"x3/4") 联塑</v>
          </cell>
          <cell r="E521" t="str">
            <v>PPR 45° Reducing Elbow dn40x25 (1-1/4"x3/4") Green(INA) - LESSO</v>
          </cell>
          <cell r="F521">
            <v>1</v>
          </cell>
          <cell r="G521">
            <v>4263</v>
          </cell>
          <cell r="H521">
            <v>3841</v>
          </cell>
          <cell r="I521">
            <v>0.12</v>
          </cell>
          <cell r="J521">
            <v>4365</v>
          </cell>
          <cell r="K521">
            <v>0.1</v>
          </cell>
          <cell r="L521">
            <v>4268</v>
          </cell>
        </row>
        <row r="522">
          <cell r="C522">
            <v>8010072801</v>
          </cell>
          <cell r="D522" t="str">
            <v>45°异径弯头(PPR 配件)印尼绿色 dn40x32 (1-1/4"x1") 联塑</v>
          </cell>
          <cell r="E522" t="str">
            <v>PPR 45° Reducing Elbow dn40x32 (1-1/4"x1") Green(INA) - LESSO</v>
          </cell>
          <cell r="F522">
            <v>1</v>
          </cell>
          <cell r="G522">
            <v>4851</v>
          </cell>
          <cell r="H522">
            <v>4371</v>
          </cell>
          <cell r="I522">
            <v>0.12</v>
          </cell>
          <cell r="J522">
            <v>4968</v>
          </cell>
          <cell r="K522">
            <v>0.1</v>
          </cell>
          <cell r="L522">
            <v>4857</v>
          </cell>
        </row>
        <row r="523">
          <cell r="C523">
            <v>8010072802</v>
          </cell>
          <cell r="D523" t="str">
            <v>45°异径弯头(PPR 配件)印尼绿色 dn50x20 (1-1/2"x1/2") 联塑</v>
          </cell>
          <cell r="E523" t="str">
            <v>PPR 45° Reducing Elbow dn50x20 (1-1/2"x1/2") Green(INA) - LESSO</v>
          </cell>
          <cell r="F523">
            <v>1</v>
          </cell>
          <cell r="G523">
            <v>6713</v>
          </cell>
          <cell r="H523">
            <v>6048</v>
          </cell>
          <cell r="I523">
            <v>0.12</v>
          </cell>
          <cell r="J523">
            <v>6873</v>
          </cell>
          <cell r="K523">
            <v>0.1</v>
          </cell>
          <cell r="L523">
            <v>6720</v>
          </cell>
        </row>
        <row r="524">
          <cell r="C524">
            <v>8010072803</v>
          </cell>
          <cell r="D524" t="str">
            <v>45°异径弯头(PPR 配件)印尼绿色 dn50x25 (1-1/2"x3/4") 联塑</v>
          </cell>
          <cell r="E524" t="str">
            <v>PPR 45° Reducing Elbow dn50x25 (1-1/2"x3/4") Green(INA) - LESSO</v>
          </cell>
          <cell r="F524">
            <v>1</v>
          </cell>
          <cell r="G524">
            <v>7007</v>
          </cell>
          <cell r="H524">
            <v>6313</v>
          </cell>
          <cell r="I524">
            <v>0.12</v>
          </cell>
          <cell r="J524">
            <v>7174</v>
          </cell>
          <cell r="K524">
            <v>0.1</v>
          </cell>
          <cell r="L524">
            <v>7015</v>
          </cell>
        </row>
        <row r="525">
          <cell r="C525">
            <v>8010072784</v>
          </cell>
          <cell r="D525" t="str">
            <v>45°异径弯头(PPR 配件)印尼绿色 dn50x32 (1-1/2"x1") 联塑</v>
          </cell>
          <cell r="E525" t="str">
            <v>PPR 45° Reducing Elbow dn50x32 (1-1/2"x1") Green(INA) - LESSO</v>
          </cell>
          <cell r="F525">
            <v>1</v>
          </cell>
          <cell r="G525">
            <v>7644</v>
          </cell>
          <cell r="H525">
            <v>6887</v>
          </cell>
          <cell r="I525">
            <v>0.12</v>
          </cell>
          <cell r="J525">
            <v>7827</v>
          </cell>
          <cell r="K525">
            <v>0.1</v>
          </cell>
          <cell r="L525">
            <v>7653</v>
          </cell>
        </row>
        <row r="526">
          <cell r="C526">
            <v>8010072785</v>
          </cell>
          <cell r="D526" t="str">
            <v>45°异径弯头(PPR 配件)印尼绿色 dn50x40 (1-1/2"x1-1/4") 联塑</v>
          </cell>
          <cell r="E526" t="str">
            <v>PPR 45° Reducing Elbow dn50x40 (1-1/2"x1-1/4") Green(INA) - LESSO</v>
          </cell>
          <cell r="F526">
            <v>1</v>
          </cell>
          <cell r="G526">
            <v>8575</v>
          </cell>
          <cell r="H526">
            <v>7726</v>
          </cell>
          <cell r="I526">
            <v>0.12</v>
          </cell>
          <cell r="J526">
            <v>8780</v>
          </cell>
          <cell r="K526">
            <v>0.1</v>
          </cell>
          <cell r="L526">
            <v>8585</v>
          </cell>
        </row>
        <row r="527">
          <cell r="C527">
            <v>8010072804</v>
          </cell>
          <cell r="D527" t="str">
            <v>45°异径弯头(PPR 配件)印尼绿色 dn63x25 (2"x3/4") 联塑</v>
          </cell>
          <cell r="E527" t="str">
            <v>PPR 45° Reducing Elbow dn63x25 (2"x3/4") Green(INA) - LESSO</v>
          </cell>
          <cell r="F527">
            <v>1</v>
          </cell>
          <cell r="G527">
            <v>12201</v>
          </cell>
          <cell r="H527">
            <v>10992</v>
          </cell>
          <cell r="I527">
            <v>0.12</v>
          </cell>
          <cell r="J527">
            <v>12491</v>
          </cell>
          <cell r="K527">
            <v>0.1</v>
          </cell>
          <cell r="L527">
            <v>12214</v>
          </cell>
        </row>
        <row r="528">
          <cell r="C528">
            <v>8010072820</v>
          </cell>
          <cell r="D528" t="str">
            <v>45°异径弯头(PPR 配件)印尼绿色 dn63x32 (2"x1") 联塑</v>
          </cell>
          <cell r="E528" t="str">
            <v>PPR 45° Reducing Elbow dn63x32 (2"x1") Green(INA) - LESSO</v>
          </cell>
          <cell r="F528">
            <v>1</v>
          </cell>
          <cell r="G528">
            <v>12544</v>
          </cell>
          <cell r="H528">
            <v>11301</v>
          </cell>
          <cell r="I528">
            <v>0.12</v>
          </cell>
          <cell r="J528">
            <v>12843</v>
          </cell>
          <cell r="K528">
            <v>0.1</v>
          </cell>
          <cell r="L528">
            <v>12557</v>
          </cell>
        </row>
        <row r="529">
          <cell r="C529">
            <v>8010072805</v>
          </cell>
          <cell r="D529" t="str">
            <v>45°异径弯头(PPR 配件)印尼绿色 dn63x40 (2"x1-1/4") 联塑</v>
          </cell>
          <cell r="E529" t="str">
            <v>PPR 45° Reducing Elbow dn63x40 (2"x1-1/4") Green(INA) - LESSO</v>
          </cell>
          <cell r="F529">
            <v>1</v>
          </cell>
          <cell r="G529">
            <v>13426</v>
          </cell>
          <cell r="H529">
            <v>12096</v>
          </cell>
          <cell r="I529">
            <v>0.12</v>
          </cell>
          <cell r="J529">
            <v>13746</v>
          </cell>
          <cell r="K529">
            <v>0.1</v>
          </cell>
          <cell r="L529">
            <v>13440</v>
          </cell>
        </row>
        <row r="530">
          <cell r="C530">
            <v>8010072806</v>
          </cell>
          <cell r="D530" t="str">
            <v>45°异径弯头(PPR 配件)印尼绿色 dn63x50 (2"x1-1/2") 联塑</v>
          </cell>
          <cell r="E530" t="str">
            <v>PPR 45° Reducing Elbow dn63x50 (2"x1-1/2") Green(INA) - LESSO</v>
          </cell>
          <cell r="F530">
            <v>1</v>
          </cell>
          <cell r="G530">
            <v>15288</v>
          </cell>
          <cell r="H530">
            <v>13773</v>
          </cell>
          <cell r="I530">
            <v>0.12</v>
          </cell>
          <cell r="J530">
            <v>15652</v>
          </cell>
          <cell r="K530">
            <v>0.1</v>
          </cell>
          <cell r="L530">
            <v>15304</v>
          </cell>
        </row>
        <row r="531">
          <cell r="C531">
            <v>8010072809</v>
          </cell>
          <cell r="D531" t="str">
            <v>22.5°弯头(PPR 配件)印尼绿色 dn110 (4") 联塑</v>
          </cell>
          <cell r="E531" t="str">
            <v>PPR 22.5° Elbow dn110 (4") Green(INA) - LESSO</v>
          </cell>
          <cell r="F531">
            <v>1</v>
          </cell>
          <cell r="G531">
            <v>72716</v>
          </cell>
          <cell r="H531">
            <v>65510</v>
          </cell>
          <cell r="I531">
            <v>0.12</v>
          </cell>
          <cell r="J531">
            <v>74444</v>
          </cell>
          <cell r="K531">
            <v>0.1</v>
          </cell>
          <cell r="L531">
            <v>72789</v>
          </cell>
        </row>
        <row r="532">
          <cell r="C532">
            <v>8010072466</v>
          </cell>
          <cell r="D532" t="str">
            <v>22.5°弯头(PPR 配件)印尼绿色 dn20 (1/2") 联塑</v>
          </cell>
          <cell r="E532" t="str">
            <v>PPR 22.5° Elbow dn20 (1/2") Green(INA) - LESSO</v>
          </cell>
          <cell r="F532">
            <v>1</v>
          </cell>
          <cell r="G532">
            <v>1225</v>
          </cell>
          <cell r="H532">
            <v>1104</v>
          </cell>
          <cell r="I532">
            <v>0.12</v>
          </cell>
          <cell r="J532">
            <v>1255</v>
          </cell>
          <cell r="K532">
            <v>0.1</v>
          </cell>
          <cell r="L532">
            <v>1227</v>
          </cell>
        </row>
        <row r="533">
          <cell r="C533">
            <v>8010072467</v>
          </cell>
          <cell r="D533" t="str">
            <v>22.5°弯头(PPR 配件)印尼绿色 dn25 (3/4") 联塑</v>
          </cell>
          <cell r="E533" t="str">
            <v>PPR 22.5° Elbow dn25 (3/4") Green(INA) - LESSO</v>
          </cell>
          <cell r="F533">
            <v>1</v>
          </cell>
          <cell r="G533">
            <v>1862</v>
          </cell>
          <cell r="H533">
            <v>1678</v>
          </cell>
          <cell r="I533">
            <v>0.12</v>
          </cell>
          <cell r="J533">
            <v>1907</v>
          </cell>
          <cell r="K533">
            <v>0.1</v>
          </cell>
          <cell r="L533">
            <v>1865</v>
          </cell>
        </row>
        <row r="534">
          <cell r="C534">
            <v>8010072468</v>
          </cell>
          <cell r="D534" t="str">
            <v>22.5°弯头(PPR 配件)印尼绿色 dn32 (1") 联塑</v>
          </cell>
          <cell r="E534" t="str">
            <v>PPR 22.5° Elbow dn32 (1") Green(INA) - LESSO</v>
          </cell>
          <cell r="F534">
            <v>1</v>
          </cell>
          <cell r="G534">
            <v>3087</v>
          </cell>
          <cell r="H534">
            <v>2782</v>
          </cell>
          <cell r="I534">
            <v>0.12</v>
          </cell>
          <cell r="J534">
            <v>3162</v>
          </cell>
          <cell r="K534">
            <v>0.1</v>
          </cell>
          <cell r="L534">
            <v>3092</v>
          </cell>
        </row>
        <row r="535">
          <cell r="C535">
            <v>8010072787</v>
          </cell>
          <cell r="D535" t="str">
            <v>22.5°弯头(PPR 配件)印尼绿色 dn40 (1-1/4") 联塑</v>
          </cell>
          <cell r="E535" t="str">
            <v>PPR 22.5° Elbow dn40 (1-1/4") Green(INA) - LESSO</v>
          </cell>
          <cell r="F535">
            <v>1</v>
          </cell>
          <cell r="G535">
            <v>5194</v>
          </cell>
          <cell r="H535">
            <v>4680</v>
          </cell>
          <cell r="I535">
            <v>0.12</v>
          </cell>
          <cell r="J535">
            <v>5319</v>
          </cell>
          <cell r="K535">
            <v>0.1</v>
          </cell>
          <cell r="L535">
            <v>5200</v>
          </cell>
        </row>
        <row r="536">
          <cell r="C536">
            <v>8010072788</v>
          </cell>
          <cell r="D536" t="str">
            <v>22.5°弯头(PPR 配件)印尼绿色 dn50 (1-1/2") 联塑</v>
          </cell>
          <cell r="E536" t="str">
            <v>PPR 22.5° Elbow dn50 (1-1/2") Green(INA) - LESSO</v>
          </cell>
          <cell r="F536">
            <v>1</v>
          </cell>
          <cell r="G536">
            <v>9163</v>
          </cell>
          <cell r="H536">
            <v>8255</v>
          </cell>
          <cell r="I536">
            <v>0.12</v>
          </cell>
          <cell r="J536">
            <v>9381</v>
          </cell>
          <cell r="K536">
            <v>0.1</v>
          </cell>
          <cell r="L536">
            <v>9173</v>
          </cell>
        </row>
        <row r="537">
          <cell r="C537">
            <v>8010072808</v>
          </cell>
          <cell r="D537" t="str">
            <v>22.5°弯头(PPR 配件)印尼绿色 dn63 (2") 联塑</v>
          </cell>
          <cell r="E537" t="str">
            <v>PPR 22.5° Elbow dn63 (2") Green(INA) - LESSO</v>
          </cell>
          <cell r="F537">
            <v>1</v>
          </cell>
          <cell r="G537">
            <v>15876</v>
          </cell>
          <cell r="H537">
            <v>14303</v>
          </cell>
          <cell r="I537">
            <v>0.12</v>
          </cell>
          <cell r="J537">
            <v>16254</v>
          </cell>
          <cell r="K537">
            <v>0.1</v>
          </cell>
          <cell r="L537">
            <v>15893</v>
          </cell>
        </row>
        <row r="538">
          <cell r="C538">
            <v>8010072821</v>
          </cell>
          <cell r="D538" t="str">
            <v>22.5°弯头(PPR 配件)印尼绿色 dn75 (2-1/2") 联塑</v>
          </cell>
          <cell r="E538" t="str">
            <v>PPR 22.5° Elbow dn75 (2-1/2") Green(INA) - LESSO</v>
          </cell>
          <cell r="F538">
            <v>1</v>
          </cell>
          <cell r="G538">
            <v>24451</v>
          </cell>
          <cell r="H538">
            <v>22028</v>
          </cell>
          <cell r="I538">
            <v>0.12</v>
          </cell>
          <cell r="J538">
            <v>25032</v>
          </cell>
          <cell r="K538">
            <v>0.1</v>
          </cell>
          <cell r="L538">
            <v>24476</v>
          </cell>
        </row>
        <row r="539">
          <cell r="C539">
            <v>8010072822</v>
          </cell>
          <cell r="D539" t="str">
            <v>22.5°弯头(PPR 配件)印尼绿色 dn90 (3") 联塑</v>
          </cell>
          <cell r="E539" t="str">
            <v>PPR 22.5° Elbow dn90 (3") Green(INA) - LESSO</v>
          </cell>
          <cell r="F539">
            <v>1</v>
          </cell>
          <cell r="G539">
            <v>41258</v>
          </cell>
          <cell r="H539">
            <v>37170</v>
          </cell>
          <cell r="I539">
            <v>0.12</v>
          </cell>
          <cell r="J539">
            <v>42239</v>
          </cell>
          <cell r="K539">
            <v>0.1</v>
          </cell>
          <cell r="L539">
            <v>41300</v>
          </cell>
        </row>
        <row r="540">
          <cell r="C540">
            <v>8010072708</v>
          </cell>
          <cell r="D540" t="str">
            <v>90°弯头(PPR 配件)印尼绿色 dn16 联塑</v>
          </cell>
          <cell r="E540" t="str">
            <v>PPR 90° Elbow dn16 Green(INA) - LESSO</v>
          </cell>
          <cell r="F540">
            <v>1</v>
          </cell>
          <cell r="G540">
            <v>931</v>
          </cell>
          <cell r="H540">
            <v>839</v>
          </cell>
          <cell r="I540">
            <v>0.12</v>
          </cell>
          <cell r="J540">
            <v>954</v>
          </cell>
          <cell r="K540">
            <v>0.1</v>
          </cell>
          <cell r="L540">
            <v>933</v>
          </cell>
        </row>
        <row r="541">
          <cell r="C541">
            <v>8010071401</v>
          </cell>
          <cell r="D541" t="str">
            <v>90°弯头(PPR 配件)印尼绿色 dn20 (1/2") 联塑</v>
          </cell>
          <cell r="E541" t="str">
            <v>PPR 90° Elbow dn20 (1/2") Green(INA) - LESSO</v>
          </cell>
          <cell r="F541">
            <v>1</v>
          </cell>
          <cell r="G541">
            <v>1372</v>
          </cell>
          <cell r="H541">
            <v>1237</v>
          </cell>
          <cell r="I541">
            <v>0.12</v>
          </cell>
          <cell r="J541">
            <v>1406</v>
          </cell>
          <cell r="K541">
            <v>0.1</v>
          </cell>
          <cell r="L541">
            <v>1375</v>
          </cell>
        </row>
        <row r="542">
          <cell r="C542">
            <v>8010071402</v>
          </cell>
          <cell r="D542" t="str">
            <v>90°弯头(PPR 配件)印尼绿色 dn25 (3/4") 联塑</v>
          </cell>
          <cell r="E542" t="str">
            <v>PPR 90° Elbow dn25 (3/4") Green(INA) - LESSO</v>
          </cell>
          <cell r="F542">
            <v>1</v>
          </cell>
          <cell r="G542">
            <v>1710</v>
          </cell>
          <cell r="H542">
            <v>1541</v>
          </cell>
          <cell r="I542">
            <v>0.12</v>
          </cell>
          <cell r="J542">
            <v>1752</v>
          </cell>
          <cell r="K542">
            <v>0.1</v>
          </cell>
          <cell r="L542">
            <v>1713</v>
          </cell>
        </row>
        <row r="543">
          <cell r="C543">
            <v>8010071403</v>
          </cell>
          <cell r="D543" t="str">
            <v>90°弯头(PPR 配件)印尼绿色 dn32 (1") 联塑</v>
          </cell>
          <cell r="E543" t="str">
            <v>PPR 90° Elbow dn32 (1") Green(INA) - LESSO</v>
          </cell>
          <cell r="F543">
            <v>1</v>
          </cell>
          <cell r="G543">
            <v>4361</v>
          </cell>
          <cell r="H543">
            <v>3929</v>
          </cell>
          <cell r="I543">
            <v>0.12</v>
          </cell>
          <cell r="J543">
            <v>4465</v>
          </cell>
          <cell r="K543">
            <v>0.1</v>
          </cell>
          <cell r="L543">
            <v>4366</v>
          </cell>
        </row>
        <row r="544">
          <cell r="C544">
            <v>8010071404</v>
          </cell>
          <cell r="D544" t="str">
            <v>90°弯头(PPR 配件)印尼绿色 dn40 (1-1/4") 联塑</v>
          </cell>
          <cell r="E544" t="str">
            <v>PPR 90° Elbow dn40 (1-1/4") Green(INA) - LESSO</v>
          </cell>
          <cell r="F544">
            <v>1</v>
          </cell>
          <cell r="G544">
            <v>7448</v>
          </cell>
          <cell r="H544">
            <v>6710</v>
          </cell>
          <cell r="I544">
            <v>0.12</v>
          </cell>
          <cell r="J544">
            <v>7625</v>
          </cell>
          <cell r="K544">
            <v>0.1</v>
          </cell>
          <cell r="L544">
            <v>7456</v>
          </cell>
        </row>
        <row r="545">
          <cell r="C545">
            <v>8010071405</v>
          </cell>
          <cell r="D545" t="str">
            <v>90°弯头(PPR 配件)印尼绿色 dn50 (1-1/2") 联塑</v>
          </cell>
          <cell r="E545" t="str">
            <v>PPR 90° Elbow dn50 (1-1/2") Green(INA) - LESSO</v>
          </cell>
          <cell r="F545">
            <v>1</v>
          </cell>
          <cell r="G545">
            <v>13524</v>
          </cell>
          <cell r="H545">
            <v>12184</v>
          </cell>
          <cell r="I545">
            <v>0.12</v>
          </cell>
          <cell r="J545">
            <v>13846</v>
          </cell>
          <cell r="K545">
            <v>0.1</v>
          </cell>
          <cell r="L545">
            <v>13538</v>
          </cell>
        </row>
        <row r="546">
          <cell r="C546">
            <v>8010071406</v>
          </cell>
          <cell r="D546" t="str">
            <v>90°弯头(PPR 配件)印尼绿色 dn63 (2") 联塑</v>
          </cell>
          <cell r="E546" t="str">
            <v>PPR 90° Elbow dn63 (2") Green(INA) - LESSO</v>
          </cell>
          <cell r="F546">
            <v>1</v>
          </cell>
          <cell r="G546">
            <v>18962</v>
          </cell>
          <cell r="H546">
            <v>17083</v>
          </cell>
          <cell r="I546">
            <v>0.12</v>
          </cell>
          <cell r="J546">
            <v>19413</v>
          </cell>
          <cell r="K546">
            <v>0.1</v>
          </cell>
          <cell r="L546">
            <v>18982</v>
          </cell>
        </row>
        <row r="547">
          <cell r="C547">
            <v>8010071407</v>
          </cell>
          <cell r="D547" t="str">
            <v>90°弯头(PPR 配件)印尼绿色 dn75 (2-1/2") 联塑</v>
          </cell>
          <cell r="E547" t="str">
            <v>PPR 90° Elbow dn75 (2-1/2") Green(INA) - LESSO</v>
          </cell>
          <cell r="F547">
            <v>1</v>
          </cell>
          <cell r="G547">
            <v>29336</v>
          </cell>
          <cell r="H547">
            <v>26429</v>
          </cell>
          <cell r="I547">
            <v>0.12</v>
          </cell>
          <cell r="J547">
            <v>30033</v>
          </cell>
          <cell r="K547">
            <v>0.1</v>
          </cell>
          <cell r="L547">
            <v>29366</v>
          </cell>
        </row>
        <row r="548">
          <cell r="C548">
            <v>8010071408</v>
          </cell>
          <cell r="D548" t="str">
            <v>90°弯头(PPR 配件)印尼绿色 dn90 (3") 联塑</v>
          </cell>
          <cell r="E548" t="str">
            <v>PPR 90° Elbow dn90 (3") Green(INA) - LESSO</v>
          </cell>
          <cell r="F548">
            <v>1</v>
          </cell>
          <cell r="G548">
            <v>52934</v>
          </cell>
          <cell r="H548">
            <v>47689</v>
          </cell>
          <cell r="I548">
            <v>0.12</v>
          </cell>
          <cell r="J548">
            <v>54193</v>
          </cell>
          <cell r="K548">
            <v>0.1</v>
          </cell>
          <cell r="L548">
            <v>52988</v>
          </cell>
        </row>
        <row r="549">
          <cell r="C549">
            <v>8010071409</v>
          </cell>
          <cell r="D549" t="str">
            <v>90°弯头(PPR 配件)印尼绿色 dn110 (4") 联塑</v>
          </cell>
          <cell r="E549" t="str">
            <v>PPR 90° Elbow dn110 (4") Green(INA) - LESSO</v>
          </cell>
          <cell r="F549">
            <v>1</v>
          </cell>
          <cell r="G549">
            <v>129311</v>
          </cell>
          <cell r="H549">
            <v>116497</v>
          </cell>
          <cell r="I549">
            <v>0.12</v>
          </cell>
          <cell r="J549">
            <v>132383</v>
          </cell>
          <cell r="K549">
            <v>0.1</v>
          </cell>
          <cell r="L549">
            <v>129442</v>
          </cell>
        </row>
        <row r="550">
          <cell r="C550">
            <v>8010071410</v>
          </cell>
          <cell r="D550" t="str">
            <v>90°弯头(PPR 配件)印尼绿色 dn160 (6") 联塑</v>
          </cell>
          <cell r="E550" t="str">
            <v>PPR 90° Elbow dn160 (6") Green(INA) - LESSO</v>
          </cell>
          <cell r="F550">
            <v>1</v>
          </cell>
          <cell r="G550">
            <v>401506</v>
          </cell>
          <cell r="H550">
            <v>361718</v>
          </cell>
          <cell r="I550">
            <v>0.12</v>
          </cell>
          <cell r="J550">
            <v>411044</v>
          </cell>
          <cell r="K550">
            <v>0.1</v>
          </cell>
          <cell r="L550">
            <v>401909</v>
          </cell>
        </row>
        <row r="551">
          <cell r="C551">
            <v>8010072472</v>
          </cell>
          <cell r="D551" t="str">
            <v>90°异径弯头(PPR 配件)印尼绿色 dn25x20 (3/4"x1/2") 联塑</v>
          </cell>
          <cell r="E551" t="str">
            <v>PPR 90° Reducing Elbow dn25x20 (3/4"x1/2") Green(INA) - LESSO</v>
          </cell>
          <cell r="F551">
            <v>1</v>
          </cell>
          <cell r="G551">
            <v>2156</v>
          </cell>
          <cell r="H551">
            <v>1943</v>
          </cell>
          <cell r="I551">
            <v>0.12</v>
          </cell>
          <cell r="J551">
            <v>2208</v>
          </cell>
          <cell r="K551">
            <v>0.1</v>
          </cell>
          <cell r="L551">
            <v>2159</v>
          </cell>
        </row>
        <row r="552">
          <cell r="C552">
            <v>8010072473</v>
          </cell>
          <cell r="D552" t="str">
            <v>90°异径弯头(PPR 配件)印尼绿色 dn32x20 (1"x1/2") 联塑</v>
          </cell>
          <cell r="E552" t="str">
            <v>PPR 90° Reducing Elbow dn32x20 (1"x1/2") Green(INA) - LESSO</v>
          </cell>
          <cell r="F552">
            <v>1</v>
          </cell>
          <cell r="G552">
            <v>3038</v>
          </cell>
          <cell r="H552">
            <v>2737</v>
          </cell>
          <cell r="I552">
            <v>0.12</v>
          </cell>
          <cell r="J552">
            <v>3111</v>
          </cell>
          <cell r="K552">
            <v>0.1</v>
          </cell>
          <cell r="L552">
            <v>3042</v>
          </cell>
        </row>
        <row r="553">
          <cell r="C553">
            <v>8010072474</v>
          </cell>
          <cell r="D553" t="str">
            <v>90°异径弯头(PPR 配件)印尼绿色 dn32x25 (1"x3/4") 联塑</v>
          </cell>
          <cell r="E553" t="str">
            <v>PPR 90° Reducing Elbow dn32x25 (1"x3/4") Green(INA) - LESSO</v>
          </cell>
          <cell r="F553">
            <v>1</v>
          </cell>
          <cell r="G553">
            <v>3675</v>
          </cell>
          <cell r="H553">
            <v>3311</v>
          </cell>
          <cell r="I553">
            <v>0.12</v>
          </cell>
          <cell r="J553">
            <v>3763</v>
          </cell>
          <cell r="K553">
            <v>0.1</v>
          </cell>
          <cell r="L553">
            <v>3679</v>
          </cell>
        </row>
        <row r="554">
          <cell r="C554">
            <v>8010072713</v>
          </cell>
          <cell r="D554" t="str">
            <v>90°异径弯头(PPR 配件)印尼绿色 dn40x20 (1-1/4"x1/2") 联塑</v>
          </cell>
          <cell r="E554" t="str">
            <v>PPR 90° Reducing Elbow dn40x20 (1-1/4"x1/2") Green(INA) - LESSO</v>
          </cell>
          <cell r="F554">
            <v>1</v>
          </cell>
          <cell r="G554">
            <v>4606</v>
          </cell>
          <cell r="H554">
            <v>4150</v>
          </cell>
          <cell r="I554">
            <v>0.12</v>
          </cell>
          <cell r="J554">
            <v>4716</v>
          </cell>
          <cell r="K554">
            <v>0.1</v>
          </cell>
          <cell r="L554">
            <v>4612</v>
          </cell>
        </row>
        <row r="555">
          <cell r="C555">
            <v>8010072714</v>
          </cell>
          <cell r="D555" t="str">
            <v>90°异径弯头(PPR 配件)印尼绿色 dn40x25 (1-1/4"x3/4") 联塑</v>
          </cell>
          <cell r="E555" t="str">
            <v>PPR 90° Reducing Elbow dn40x25 (1-1/4"x3/4") Green(INA) - LESSO</v>
          </cell>
          <cell r="F555">
            <v>1</v>
          </cell>
          <cell r="G555">
            <v>5194</v>
          </cell>
          <cell r="H555">
            <v>4680</v>
          </cell>
          <cell r="I555">
            <v>0.12</v>
          </cell>
          <cell r="J555">
            <v>5319</v>
          </cell>
          <cell r="K555">
            <v>0.1</v>
          </cell>
          <cell r="L555">
            <v>5200</v>
          </cell>
        </row>
        <row r="556">
          <cell r="C556">
            <v>8010072701</v>
          </cell>
          <cell r="D556" t="str">
            <v>90°异径弯头(PPR 配件)印尼绿色 dn40x32 (1-1/4"x1") 联塑</v>
          </cell>
          <cell r="E556" t="str">
            <v>PPR 90° Reducing Elbow dn40x32 (1-1/4"x1") Green(INA) - LESSO</v>
          </cell>
          <cell r="F556">
            <v>1</v>
          </cell>
          <cell r="G556">
            <v>6419</v>
          </cell>
          <cell r="H556">
            <v>5783</v>
          </cell>
          <cell r="I556">
            <v>0.12</v>
          </cell>
          <cell r="J556">
            <v>6572</v>
          </cell>
          <cell r="K556">
            <v>0.1</v>
          </cell>
          <cell r="L556">
            <v>6426</v>
          </cell>
        </row>
        <row r="557">
          <cell r="C557">
            <v>8010072702</v>
          </cell>
          <cell r="D557" t="str">
            <v>90°异径弯头(PPR 配件)印尼绿色 dn50x20 (1-1/2"x1/2") 联塑</v>
          </cell>
          <cell r="E557" t="str">
            <v>PPR 90° Reducing Elbow dn50x20 (1-1/2"x1/2") Green(INA) - LESSO</v>
          </cell>
          <cell r="F557">
            <v>1</v>
          </cell>
          <cell r="G557">
            <v>7350</v>
          </cell>
          <cell r="H557">
            <v>6622</v>
          </cell>
          <cell r="I557">
            <v>0.12</v>
          </cell>
          <cell r="J557">
            <v>7525</v>
          </cell>
          <cell r="K557">
            <v>0.1</v>
          </cell>
          <cell r="L557">
            <v>7358</v>
          </cell>
        </row>
        <row r="558">
          <cell r="C558">
            <v>8010072703</v>
          </cell>
          <cell r="D558" t="str">
            <v>90°异径弯头(PPR 配件)印尼绿色 dn50x25 (1-1/2"x3/4") 联塑</v>
          </cell>
          <cell r="E558" t="str">
            <v>PPR 90° Reducing Elbow dn50x25 (1-1/2"x3/4") Green(INA) - LESSO</v>
          </cell>
          <cell r="F558">
            <v>1</v>
          </cell>
          <cell r="G558">
            <v>7938</v>
          </cell>
          <cell r="H558">
            <v>7152</v>
          </cell>
          <cell r="I558">
            <v>0.12</v>
          </cell>
          <cell r="J558">
            <v>8128</v>
          </cell>
          <cell r="K558">
            <v>0.1</v>
          </cell>
          <cell r="L558">
            <v>7947</v>
          </cell>
        </row>
        <row r="559">
          <cell r="C559">
            <v>8010072704</v>
          </cell>
          <cell r="D559" t="str">
            <v>90°异径弯头(PPR 配件)印尼绿色 dn50x32 (1-1/2"x1") 联塑</v>
          </cell>
          <cell r="E559" t="str">
            <v>PPR 90° Reducing Elbow dn50x32 (1-1/2"x1") Green(INA) - LESSO</v>
          </cell>
          <cell r="F559">
            <v>1</v>
          </cell>
          <cell r="G559">
            <v>9751</v>
          </cell>
          <cell r="H559">
            <v>8785</v>
          </cell>
          <cell r="I559">
            <v>0.12</v>
          </cell>
          <cell r="J559">
            <v>9983</v>
          </cell>
          <cell r="K559">
            <v>0.1</v>
          </cell>
          <cell r="L559">
            <v>9762</v>
          </cell>
        </row>
        <row r="560">
          <cell r="C560">
            <v>8010072705</v>
          </cell>
          <cell r="D560" t="str">
            <v>90°异径弯头(PPR 配件)印尼绿色 dn50x40 (1-1/2"x1-1/4") 联塑</v>
          </cell>
          <cell r="E560" t="str">
            <v>PPR 90° Reducing Elbow dn50x40 (1-1/2"x1-1/4") Green(INA) - LESSO</v>
          </cell>
          <cell r="F560">
            <v>1</v>
          </cell>
          <cell r="G560">
            <v>11613</v>
          </cell>
          <cell r="H560">
            <v>10463</v>
          </cell>
          <cell r="I560">
            <v>0.12</v>
          </cell>
          <cell r="J560">
            <v>11890</v>
          </cell>
          <cell r="K560">
            <v>0.1</v>
          </cell>
          <cell r="L560">
            <v>11626</v>
          </cell>
        </row>
        <row r="561">
          <cell r="C561">
            <v>8010072786</v>
          </cell>
          <cell r="D561" t="str">
            <v>90°异径弯头(PPR 配件)印尼绿色 dn63x25 (2"x3/4") 联塑</v>
          </cell>
          <cell r="E561" t="str">
            <v>PPR 90° Reducing Elbow dn63x25 (2"x3/4") Green(INA) - LESSO</v>
          </cell>
          <cell r="F561">
            <v>1</v>
          </cell>
          <cell r="G561">
            <v>13132</v>
          </cell>
          <cell r="H561">
            <v>11831</v>
          </cell>
          <cell r="I561">
            <v>0.12</v>
          </cell>
          <cell r="J561">
            <v>13445</v>
          </cell>
          <cell r="K561">
            <v>0.1</v>
          </cell>
          <cell r="L561">
            <v>13146</v>
          </cell>
        </row>
        <row r="562">
          <cell r="C562">
            <v>8010072829</v>
          </cell>
          <cell r="D562" t="str">
            <v>90°异径弯头(PPR 配件)印尼绿色 dn63x32 (2"x1") 联塑</v>
          </cell>
          <cell r="E562" t="str">
            <v>PPR 90° Reducing Elbow dn63x32 (2"x1") Green(INA) - LESSO</v>
          </cell>
          <cell r="F562">
            <v>1</v>
          </cell>
          <cell r="G562">
            <v>14063</v>
          </cell>
          <cell r="H562">
            <v>12670</v>
          </cell>
          <cell r="I562">
            <v>0.12</v>
          </cell>
          <cell r="J562">
            <v>14398</v>
          </cell>
          <cell r="K562">
            <v>0.1</v>
          </cell>
          <cell r="L562">
            <v>14078</v>
          </cell>
        </row>
        <row r="563">
          <cell r="C563">
            <v>8010072830</v>
          </cell>
          <cell r="D563" t="str">
            <v>90°异径弯头(PPR 配件)印尼绿色 dn63x40 (2"x1-1/4") 联塑</v>
          </cell>
          <cell r="E563" t="str">
            <v>PPR 90° Reducing Elbow dn63x40 (2"x1-1/4") Green(INA) - LESSO</v>
          </cell>
          <cell r="F563">
            <v>1</v>
          </cell>
          <cell r="G563">
            <v>15582</v>
          </cell>
          <cell r="H563">
            <v>14038</v>
          </cell>
          <cell r="I563">
            <v>0.12</v>
          </cell>
          <cell r="J563">
            <v>15953</v>
          </cell>
          <cell r="K563">
            <v>0.1</v>
          </cell>
          <cell r="L563">
            <v>15598</v>
          </cell>
        </row>
        <row r="564">
          <cell r="C564">
            <v>8010072807</v>
          </cell>
          <cell r="D564" t="str">
            <v>90°异径弯头(PPR 配件)印尼绿色 dn63x50 (2"x1-1/2") 联塑</v>
          </cell>
          <cell r="E564" t="str">
            <v>PPR 90° Reducing Elbow dn63x50 (2"x1-1/2") Green(INA) - LESSO</v>
          </cell>
          <cell r="F564">
            <v>1</v>
          </cell>
          <cell r="G564">
            <v>18963</v>
          </cell>
          <cell r="H564">
            <v>17084</v>
          </cell>
          <cell r="I564">
            <v>0.12</v>
          </cell>
          <cell r="J564">
            <v>19414</v>
          </cell>
          <cell r="K564">
            <v>0.1</v>
          </cell>
          <cell r="L564">
            <v>18983</v>
          </cell>
        </row>
        <row r="565">
          <cell r="C565">
            <v>8010071419</v>
          </cell>
          <cell r="D565" t="str">
            <v>90°等径三通(PPR 配件)印尼绿色 dn110 (4") 联塑</v>
          </cell>
          <cell r="E565" t="str">
            <v>PPR 90° Tee dn110 (4") Green(INA) - LESSO</v>
          </cell>
          <cell r="F565">
            <v>1</v>
          </cell>
          <cell r="G565">
            <v>148372</v>
          </cell>
          <cell r="H565">
            <v>133669</v>
          </cell>
          <cell r="I565">
            <v>0.12</v>
          </cell>
          <cell r="J565">
            <v>151897</v>
          </cell>
          <cell r="K565">
            <v>0.1</v>
          </cell>
          <cell r="L565">
            <v>148522</v>
          </cell>
        </row>
        <row r="566">
          <cell r="C566">
            <v>8010072709</v>
          </cell>
          <cell r="D566" t="str">
            <v>90°等径三通(PPR 配件)印尼绿色 dn16 联塑</v>
          </cell>
          <cell r="E566" t="str">
            <v>PPR 90° Tee dn16 Green(INA) - LESSO</v>
          </cell>
          <cell r="F566">
            <v>1</v>
          </cell>
          <cell r="G566">
            <v>931</v>
          </cell>
          <cell r="H566">
            <v>839</v>
          </cell>
          <cell r="I566">
            <v>0.12</v>
          </cell>
          <cell r="J566">
            <v>954</v>
          </cell>
          <cell r="K566">
            <v>0.1</v>
          </cell>
          <cell r="L566">
            <v>933</v>
          </cell>
        </row>
        <row r="567">
          <cell r="C567">
            <v>8010071420</v>
          </cell>
          <cell r="D567" t="str">
            <v>90°等径三通(PPR 配件)印尼绿色 dn160 (6") 联塑</v>
          </cell>
          <cell r="E567" t="str">
            <v>PPR 90° Tee dn160 (6") Green(INA) - LESSO</v>
          </cell>
          <cell r="F567">
            <v>1</v>
          </cell>
          <cell r="G567">
            <v>520772</v>
          </cell>
          <cell r="H567">
            <v>469164</v>
          </cell>
          <cell r="I567">
            <v>0.12</v>
          </cell>
          <cell r="J567">
            <v>533141</v>
          </cell>
          <cell r="K567">
            <v>0.1</v>
          </cell>
          <cell r="L567">
            <v>521294</v>
          </cell>
        </row>
        <row r="568">
          <cell r="C568">
            <v>8010071411</v>
          </cell>
          <cell r="D568" t="str">
            <v>90°等径三通(PPR 配件)印尼绿色 dn20 (1/2") 联塑</v>
          </cell>
          <cell r="E568" t="str">
            <v>PPR 90° Tee dn20 (1/2") Green(INA) - LESSO</v>
          </cell>
          <cell r="F568">
            <v>1</v>
          </cell>
          <cell r="G568">
            <v>1330</v>
          </cell>
          <cell r="H568">
            <v>1199</v>
          </cell>
          <cell r="I568">
            <v>0.12</v>
          </cell>
          <cell r="J568">
            <v>1363</v>
          </cell>
          <cell r="K568">
            <v>0.1</v>
          </cell>
          <cell r="L568">
            <v>1333</v>
          </cell>
        </row>
        <row r="569">
          <cell r="C569">
            <v>8010071412</v>
          </cell>
          <cell r="D569" t="str">
            <v>90°等径三通(PPR 配件)印尼绿色 dn25 (3/4") 联塑</v>
          </cell>
          <cell r="E569" t="str">
            <v>PPR 90° Tee dn25 (3/4") Green(INA) - LESSO</v>
          </cell>
          <cell r="F569">
            <v>1</v>
          </cell>
          <cell r="G569">
            <v>2744</v>
          </cell>
          <cell r="H569">
            <v>2473</v>
          </cell>
          <cell r="I569">
            <v>0.12</v>
          </cell>
          <cell r="J569">
            <v>2811</v>
          </cell>
          <cell r="K569">
            <v>0.1</v>
          </cell>
          <cell r="L569">
            <v>2748</v>
          </cell>
        </row>
        <row r="570">
          <cell r="C570">
            <v>8010071413</v>
          </cell>
          <cell r="D570" t="str">
            <v>90°等径三通(PPR 配件)印尼绿色 dn32 (1") 联塑</v>
          </cell>
          <cell r="E570" t="str">
            <v>PPR 90° Tee dn32 (1") Green(INA) - LESSO</v>
          </cell>
          <cell r="F570">
            <v>1</v>
          </cell>
          <cell r="G570">
            <v>5243</v>
          </cell>
          <cell r="H570">
            <v>4724</v>
          </cell>
          <cell r="I570">
            <v>0.12</v>
          </cell>
          <cell r="J570">
            <v>5369</v>
          </cell>
          <cell r="K570">
            <v>0.1</v>
          </cell>
          <cell r="L570">
            <v>5249</v>
          </cell>
        </row>
        <row r="571">
          <cell r="C571">
            <v>8010071414</v>
          </cell>
          <cell r="D571" t="str">
            <v>90°等径三通(PPR 配件)印尼绿色 dn40 (1-1/4") 联塑</v>
          </cell>
          <cell r="E571" t="str">
            <v>PPR 90° Tee dn40 (1-1/4") Green(INA) - LESSO</v>
          </cell>
          <cell r="F571">
            <v>1</v>
          </cell>
          <cell r="G571">
            <v>9016</v>
          </cell>
          <cell r="H571">
            <v>8123</v>
          </cell>
          <cell r="I571">
            <v>0.12</v>
          </cell>
          <cell r="J571">
            <v>9231</v>
          </cell>
          <cell r="K571">
            <v>0.1</v>
          </cell>
          <cell r="L571">
            <v>9026</v>
          </cell>
        </row>
        <row r="572">
          <cell r="C572">
            <v>8010071415</v>
          </cell>
          <cell r="D572" t="str">
            <v>90°等径三通(PPR 配件)印尼绿色 dn50 (1-1/2") 联塑</v>
          </cell>
          <cell r="E572" t="str">
            <v>PPR 90° Tee dn50 (1-1/2") Green(INA) - LESSO</v>
          </cell>
          <cell r="F572">
            <v>1</v>
          </cell>
          <cell r="G572">
            <v>16709</v>
          </cell>
          <cell r="H572">
            <v>15054</v>
          </cell>
          <cell r="I572">
            <v>0.12</v>
          </cell>
          <cell r="J572">
            <v>17107</v>
          </cell>
          <cell r="K572">
            <v>0.1</v>
          </cell>
          <cell r="L572">
            <v>16727</v>
          </cell>
        </row>
        <row r="573">
          <cell r="C573">
            <v>8010071416</v>
          </cell>
          <cell r="D573" t="str">
            <v>90°等径三通(PPR 配件)印尼绿色 dn63 (2") 联塑</v>
          </cell>
          <cell r="E573" t="str">
            <v>PPR 90° Tee dn63 (2") Green(INA) - LESSO</v>
          </cell>
          <cell r="F573">
            <v>1</v>
          </cell>
          <cell r="G573">
            <v>29743</v>
          </cell>
          <cell r="H573">
            <v>26796</v>
          </cell>
          <cell r="I573">
            <v>0.12</v>
          </cell>
          <cell r="J573">
            <v>30450</v>
          </cell>
          <cell r="K573">
            <v>0.1</v>
          </cell>
          <cell r="L573">
            <v>29774</v>
          </cell>
        </row>
        <row r="574">
          <cell r="C574">
            <v>8010071417</v>
          </cell>
          <cell r="D574" t="str">
            <v>90°等径三通(PPR 配件)印尼绿色 dn75 (2-1/2") 联塑</v>
          </cell>
          <cell r="E574" t="str">
            <v>PPR 90° Tee dn75 (2-1/2") Green(INA) - LESSO</v>
          </cell>
          <cell r="F574">
            <v>1</v>
          </cell>
          <cell r="G574">
            <v>46550</v>
          </cell>
          <cell r="H574">
            <v>41937</v>
          </cell>
          <cell r="I574">
            <v>0.12</v>
          </cell>
          <cell r="J574">
            <v>47656</v>
          </cell>
          <cell r="K574">
            <v>0.1</v>
          </cell>
          <cell r="L574">
            <v>46597</v>
          </cell>
        </row>
        <row r="575">
          <cell r="C575">
            <v>8010071418</v>
          </cell>
          <cell r="D575" t="str">
            <v>90°等径三通(PPR 配件)印尼绿色 dn90 (3") 联塑</v>
          </cell>
          <cell r="E575" t="str">
            <v>PPR 90° Tee dn90 (3") Green(INA) - LESSO</v>
          </cell>
          <cell r="F575">
            <v>1</v>
          </cell>
          <cell r="G575">
            <v>81487</v>
          </cell>
          <cell r="H575">
            <v>73412</v>
          </cell>
          <cell r="I575">
            <v>0.12</v>
          </cell>
          <cell r="J575">
            <v>83423</v>
          </cell>
          <cell r="K575">
            <v>0.1</v>
          </cell>
          <cell r="L575">
            <v>81569</v>
          </cell>
        </row>
        <row r="576">
          <cell r="C576">
            <v>8010072710</v>
          </cell>
          <cell r="D576" t="str">
            <v>90°异径三通(PPR 配件)印尼绿色 dn20x16 联塑</v>
          </cell>
          <cell r="E576" t="str">
            <v>PPR 90° Reducing Tee dn20x16 Green(INA) - LESSO</v>
          </cell>
          <cell r="F576">
            <v>1</v>
          </cell>
          <cell r="G576">
            <v>3087</v>
          </cell>
          <cell r="H576">
            <v>2782</v>
          </cell>
          <cell r="I576">
            <v>0.12</v>
          </cell>
          <cell r="J576">
            <v>3162</v>
          </cell>
          <cell r="K576">
            <v>0.1</v>
          </cell>
          <cell r="L576">
            <v>3092</v>
          </cell>
        </row>
        <row r="577">
          <cell r="C577">
            <v>8010072711</v>
          </cell>
          <cell r="D577" t="str">
            <v>90°异径三通(PPR 配件)印尼绿色 dn25x16 联塑</v>
          </cell>
          <cell r="E577" t="str">
            <v>PPR 90° Reducing Tee dn25x16 Green(INA) - LESSO</v>
          </cell>
          <cell r="F577">
            <v>1</v>
          </cell>
          <cell r="G577">
            <v>2156</v>
          </cell>
          <cell r="H577">
            <v>1943</v>
          </cell>
          <cell r="I577">
            <v>0.12</v>
          </cell>
          <cell r="J577">
            <v>2208</v>
          </cell>
          <cell r="K577">
            <v>0.1</v>
          </cell>
          <cell r="L577">
            <v>2159</v>
          </cell>
        </row>
        <row r="578">
          <cell r="C578">
            <v>8010071360</v>
          </cell>
          <cell r="D578" t="str">
            <v>90°异径三通(PPR 配件)印尼绿色 dn25x20 (3/4"x1/2") 联塑</v>
          </cell>
          <cell r="E578" t="str">
            <v>PPR 90° Reducing Tee dn25x20 (3/4"x1/2") Green(INA) - LESSO</v>
          </cell>
          <cell r="F578">
            <v>1</v>
          </cell>
          <cell r="G578">
            <v>2401</v>
          </cell>
          <cell r="H578">
            <v>2164</v>
          </cell>
          <cell r="I578">
            <v>0.12</v>
          </cell>
          <cell r="J578">
            <v>2460</v>
          </cell>
          <cell r="K578">
            <v>0.1</v>
          </cell>
          <cell r="L578">
            <v>2405</v>
          </cell>
        </row>
        <row r="579">
          <cell r="C579">
            <v>8010072712</v>
          </cell>
          <cell r="D579" t="str">
            <v>90°异径三通(PPR 配件)印尼绿色 dn32x16 联塑</v>
          </cell>
          <cell r="E579" t="str">
            <v>PPR 90° Reducing Tee dn32x16 Green(INA) - LESSO</v>
          </cell>
          <cell r="F579">
            <v>1</v>
          </cell>
          <cell r="G579">
            <v>3675</v>
          </cell>
          <cell r="H579">
            <v>3311</v>
          </cell>
          <cell r="I579">
            <v>0.12</v>
          </cell>
          <cell r="J579">
            <v>3763</v>
          </cell>
          <cell r="K579">
            <v>0.1</v>
          </cell>
          <cell r="L579">
            <v>3679</v>
          </cell>
        </row>
        <row r="580">
          <cell r="C580">
            <v>8010071361</v>
          </cell>
          <cell r="D580" t="str">
            <v>90°异径三通(PPR 配件)印尼绿色 dn32x20 (1"x1/2") 联塑</v>
          </cell>
          <cell r="E580" t="str">
            <v>PPR 90° Reducing Tee dn32x20 (1"x1/2") Green(INA) - LESSO</v>
          </cell>
          <cell r="F580">
            <v>1</v>
          </cell>
          <cell r="G580">
            <v>3920</v>
          </cell>
          <cell r="H580">
            <v>3532</v>
          </cell>
          <cell r="I580">
            <v>0.12</v>
          </cell>
          <cell r="J580">
            <v>4014</v>
          </cell>
          <cell r="K580">
            <v>0.1</v>
          </cell>
          <cell r="L580">
            <v>3925</v>
          </cell>
        </row>
        <row r="581">
          <cell r="C581">
            <v>8010071362</v>
          </cell>
          <cell r="D581" t="str">
            <v>90°异径三通(PPR 配件)印尼绿色 dn32x25 (1"x3/4") 联塑</v>
          </cell>
          <cell r="E581" t="str">
            <v>PPR 90° Reducing Tee dn32x25 (1"x3/4") Green(INA) - LESSO</v>
          </cell>
          <cell r="F581">
            <v>1</v>
          </cell>
          <cell r="G581">
            <v>4508</v>
          </cell>
          <cell r="H581">
            <v>4062</v>
          </cell>
          <cell r="I581">
            <v>0.12</v>
          </cell>
          <cell r="J581">
            <v>4616</v>
          </cell>
          <cell r="K581">
            <v>0.1</v>
          </cell>
          <cell r="L581">
            <v>4514</v>
          </cell>
        </row>
        <row r="582">
          <cell r="C582">
            <v>8010071363</v>
          </cell>
          <cell r="D582" t="str">
            <v>90°异径三通(PPR 配件)印尼绿色 dn40x20 (1-1/4"x1/2") 联塑</v>
          </cell>
          <cell r="E582" t="str">
            <v>PPR 90° Reducing Tee dn40x20 (1-1/4"x1/2") Green(INA) - LESSO</v>
          </cell>
          <cell r="F582">
            <v>1</v>
          </cell>
          <cell r="G582">
            <v>7840</v>
          </cell>
          <cell r="H582">
            <v>7064</v>
          </cell>
          <cell r="I582">
            <v>0.12</v>
          </cell>
          <cell r="J582">
            <v>8028</v>
          </cell>
          <cell r="K582">
            <v>0.1</v>
          </cell>
          <cell r="L582">
            <v>7849</v>
          </cell>
        </row>
        <row r="583">
          <cell r="C583">
            <v>8010071364</v>
          </cell>
          <cell r="D583" t="str">
            <v>90°异径三通(PPR 配件)印尼绿色 dn40x25 (1-1/4"x3/4") 联塑</v>
          </cell>
          <cell r="E583" t="str">
            <v>PPR 90° Reducing Tee dn40x25 (1-1/4"x3/4") Green(INA) - LESSO</v>
          </cell>
          <cell r="F583">
            <v>1</v>
          </cell>
          <cell r="G583">
            <v>8722</v>
          </cell>
          <cell r="H583">
            <v>7858</v>
          </cell>
          <cell r="I583">
            <v>0.12</v>
          </cell>
          <cell r="J583">
            <v>8930</v>
          </cell>
          <cell r="K583">
            <v>0.1</v>
          </cell>
          <cell r="L583">
            <v>8732</v>
          </cell>
        </row>
        <row r="584">
          <cell r="C584">
            <v>8010071365</v>
          </cell>
          <cell r="D584" t="str">
            <v>90°异径三通(PPR 配件)印尼绿色 dn40x32 (1-1/4"x1") 联塑</v>
          </cell>
          <cell r="E584" t="str">
            <v>PPR 90° Reducing Tee dn40x32 (1-1/4"x1") Green(INA) - LESSO</v>
          </cell>
          <cell r="F584">
            <v>1</v>
          </cell>
          <cell r="G584">
            <v>9457</v>
          </cell>
          <cell r="H584">
            <v>8520</v>
          </cell>
          <cell r="I584">
            <v>0.12</v>
          </cell>
          <cell r="J584">
            <v>9682</v>
          </cell>
          <cell r="K584">
            <v>0.1</v>
          </cell>
          <cell r="L584">
            <v>9467</v>
          </cell>
        </row>
        <row r="585">
          <cell r="C585">
            <v>8010071366</v>
          </cell>
          <cell r="D585" t="str">
            <v>90°异径三通(PPR 配件)印尼绿色 dn50x20 (1-1/2"x1/2") 联塑</v>
          </cell>
          <cell r="E585" t="str">
            <v>PPR 90° Reducing Tee dn50x20 (1-1/2"x1/2") Green(INA) - LESSO</v>
          </cell>
          <cell r="F585">
            <v>1</v>
          </cell>
          <cell r="G585">
            <v>12642</v>
          </cell>
          <cell r="H585">
            <v>11390</v>
          </cell>
          <cell r="I585">
            <v>0.12</v>
          </cell>
          <cell r="J585">
            <v>12944</v>
          </cell>
          <cell r="K585">
            <v>0.1</v>
          </cell>
          <cell r="L585">
            <v>12656</v>
          </cell>
        </row>
        <row r="586">
          <cell r="C586">
            <v>8010071367</v>
          </cell>
          <cell r="D586" t="str">
            <v>90°异径三通(PPR 配件)印尼绿色 dn50x25 (1-1/2"x3/4") 联塑</v>
          </cell>
          <cell r="E586" t="str">
            <v>PPR 90° Reducing Tee dn50x25 (1-1/2"x3/4") Green(INA) - LESSO</v>
          </cell>
          <cell r="F586">
            <v>1</v>
          </cell>
          <cell r="G586">
            <v>12838</v>
          </cell>
          <cell r="H586">
            <v>11566</v>
          </cell>
          <cell r="I586">
            <v>0.12</v>
          </cell>
          <cell r="J586">
            <v>13144</v>
          </cell>
          <cell r="K586">
            <v>0.1</v>
          </cell>
          <cell r="L586">
            <v>12852</v>
          </cell>
        </row>
        <row r="587">
          <cell r="C587">
            <v>8010071368</v>
          </cell>
          <cell r="D587" t="str">
            <v>90°异径三通(PPR 配件)印尼绿色 dn50x32 (1-1/2"x1") 联塑</v>
          </cell>
          <cell r="E587" t="str">
            <v>PPR 90° Reducing Tee dn50x32 (1-1/2"x1") Green(INA) - LESSO</v>
          </cell>
          <cell r="F587">
            <v>1</v>
          </cell>
          <cell r="G587">
            <v>13426</v>
          </cell>
          <cell r="H587">
            <v>12096</v>
          </cell>
          <cell r="I587">
            <v>0.12</v>
          </cell>
          <cell r="J587">
            <v>13746</v>
          </cell>
          <cell r="K587">
            <v>0.1</v>
          </cell>
          <cell r="L587">
            <v>13440</v>
          </cell>
        </row>
        <row r="588">
          <cell r="C588">
            <v>8010071369</v>
          </cell>
          <cell r="D588" t="str">
            <v>90°异径三通(PPR 配件)印尼绿色 dn50x40 (1-1/2"x1-1/4") 联塑</v>
          </cell>
          <cell r="E588" t="str">
            <v>PPR 90° Reducing Tee dn50x40 (1-1/2"x1-1/4") Green(INA) - LESSO</v>
          </cell>
          <cell r="F588">
            <v>1</v>
          </cell>
          <cell r="G588">
            <v>13818</v>
          </cell>
          <cell r="H588">
            <v>12449</v>
          </cell>
          <cell r="I588">
            <v>0.12</v>
          </cell>
          <cell r="J588">
            <v>14147</v>
          </cell>
          <cell r="K588">
            <v>0.1</v>
          </cell>
          <cell r="L588">
            <v>13833</v>
          </cell>
        </row>
        <row r="589">
          <cell r="C589">
            <v>8010071370</v>
          </cell>
          <cell r="D589" t="str">
            <v>90°异径三通(PPR 配件)印尼绿色 dn63x25 (2"x3/4") 联塑</v>
          </cell>
          <cell r="E589" t="str">
            <v>PPR 90° Reducing Tee dn63x25 (2"x3/4") Green(INA) - LESSO</v>
          </cell>
          <cell r="F589">
            <v>1</v>
          </cell>
          <cell r="G589">
            <v>17787</v>
          </cell>
          <cell r="H589">
            <v>16025</v>
          </cell>
          <cell r="I589">
            <v>0.12</v>
          </cell>
          <cell r="J589">
            <v>18211</v>
          </cell>
          <cell r="K589">
            <v>0.1</v>
          </cell>
          <cell r="L589">
            <v>17806</v>
          </cell>
        </row>
        <row r="590">
          <cell r="C590">
            <v>8010071371</v>
          </cell>
          <cell r="D590" t="str">
            <v>90°异径三通(PPR 配件)印尼绿色 dn63x32 (2"x1") 联塑</v>
          </cell>
          <cell r="E590" t="str">
            <v>PPR 90° Reducing Tee dn63x32 (2"x1") Green(INA) - LESSO</v>
          </cell>
          <cell r="F590">
            <v>1</v>
          </cell>
          <cell r="G590">
            <v>18914</v>
          </cell>
          <cell r="H590">
            <v>17040</v>
          </cell>
          <cell r="I590">
            <v>0.12</v>
          </cell>
          <cell r="J590">
            <v>19364</v>
          </cell>
          <cell r="K590">
            <v>0.1</v>
          </cell>
          <cell r="L590">
            <v>18934</v>
          </cell>
        </row>
        <row r="591">
          <cell r="C591">
            <v>8010071372</v>
          </cell>
          <cell r="D591" t="str">
            <v>90°异径三通(PPR 配件)印尼绿色 dn63x40 (2"x1-1/4") 联塑</v>
          </cell>
          <cell r="E591" t="str">
            <v>PPR 90° Reducing Tee dn63x40 (2"x1-1/4") Green(INA) - LESSO</v>
          </cell>
          <cell r="F591">
            <v>1</v>
          </cell>
          <cell r="G591">
            <v>21119</v>
          </cell>
          <cell r="H591">
            <v>19027</v>
          </cell>
          <cell r="I591">
            <v>0.12</v>
          </cell>
          <cell r="J591">
            <v>21622</v>
          </cell>
          <cell r="K591">
            <v>0.1</v>
          </cell>
          <cell r="L591">
            <v>21142</v>
          </cell>
        </row>
        <row r="592">
          <cell r="C592">
            <v>8010071373</v>
          </cell>
          <cell r="D592" t="str">
            <v>90°异径三通(PPR 配件)印尼绿色 dn63x50 (2"x1-1/2") 联塑</v>
          </cell>
          <cell r="E592" t="str">
            <v>PPR 90° Reducing Tee dn63x50 (2"x1-1/2") Green(INA) - LESSO</v>
          </cell>
          <cell r="F592">
            <v>1</v>
          </cell>
          <cell r="G592">
            <v>24745</v>
          </cell>
          <cell r="H592">
            <v>22293</v>
          </cell>
          <cell r="I592">
            <v>0.12</v>
          </cell>
          <cell r="J592">
            <v>25333</v>
          </cell>
          <cell r="K592">
            <v>0.1</v>
          </cell>
          <cell r="L592">
            <v>24770</v>
          </cell>
        </row>
        <row r="593">
          <cell r="C593">
            <v>8010072304</v>
          </cell>
          <cell r="D593" t="str">
            <v>90°异径三通(PPR 配件)印尼绿色 dn75x32 (2-1/2"x1") 联塑</v>
          </cell>
          <cell r="E593" t="str">
            <v>PPR 90° Reducing Tee dn75x32 (2-1/2"x1") Green(INA) - LESSO</v>
          </cell>
          <cell r="F593">
            <v>1</v>
          </cell>
          <cell r="G593">
            <v>29106</v>
          </cell>
          <cell r="H593">
            <v>26222</v>
          </cell>
          <cell r="I593">
            <v>0.12</v>
          </cell>
          <cell r="J593">
            <v>29798</v>
          </cell>
          <cell r="K593">
            <v>0.1</v>
          </cell>
          <cell r="L593">
            <v>29136</v>
          </cell>
        </row>
        <row r="594">
          <cell r="C594">
            <v>8010071374</v>
          </cell>
          <cell r="D594" t="str">
            <v>90°异径三通(PPR 配件)印尼绿色 dn75x40 (2-1/2"x1-/4") 联塑</v>
          </cell>
          <cell r="E594" t="str">
            <v>PPR 90° Reducing Tee dn75x40 (2-1/2"x1-/4") Green(INA) - LESSO</v>
          </cell>
          <cell r="F594">
            <v>1</v>
          </cell>
          <cell r="G594">
            <v>32879</v>
          </cell>
          <cell r="H594">
            <v>29621</v>
          </cell>
          <cell r="I594">
            <v>0.12</v>
          </cell>
          <cell r="J594">
            <v>33661</v>
          </cell>
          <cell r="K594">
            <v>0.1</v>
          </cell>
          <cell r="L594">
            <v>32913</v>
          </cell>
        </row>
        <row r="595">
          <cell r="C595">
            <v>8010071375</v>
          </cell>
          <cell r="D595" t="str">
            <v>90°异径三通(PPR 配件)印尼绿色 dn75x50 (2-1/2"x1-1/2") 联塑</v>
          </cell>
          <cell r="E595" t="str">
            <v>PPR 90° Reducing Tee dn75x50 (2-1/2"x1-1/2") Green(INA) - LESSO</v>
          </cell>
          <cell r="F595">
            <v>1</v>
          </cell>
          <cell r="G595">
            <v>33467</v>
          </cell>
          <cell r="H595">
            <v>30151</v>
          </cell>
          <cell r="I595">
            <v>0.12</v>
          </cell>
          <cell r="J595">
            <v>34263</v>
          </cell>
          <cell r="K595">
            <v>0.1</v>
          </cell>
          <cell r="L595">
            <v>33502</v>
          </cell>
        </row>
        <row r="596">
          <cell r="C596">
            <v>8010071376</v>
          </cell>
          <cell r="D596" t="str">
            <v>90°异径三通(PPR 配件)印尼绿色 dn75x63 (2-1/2"x2") 联塑</v>
          </cell>
          <cell r="E596" t="str">
            <v>PPR 90° Reducing Tee dn75x63 (2-1/2"x2") Green(INA) - LESSO</v>
          </cell>
          <cell r="F596">
            <v>1</v>
          </cell>
          <cell r="G596">
            <v>53263</v>
          </cell>
          <cell r="H596">
            <v>47985</v>
          </cell>
          <cell r="I596">
            <v>0.12</v>
          </cell>
          <cell r="J596">
            <v>54529</v>
          </cell>
          <cell r="K596">
            <v>0.1</v>
          </cell>
          <cell r="L596">
            <v>53317</v>
          </cell>
        </row>
        <row r="597">
          <cell r="C597">
            <v>8010071352</v>
          </cell>
          <cell r="D597" t="str">
            <v>90°异径三通(PPR 配件)印尼绿色 dn90x40 (3"X1-1/4") 联塑</v>
          </cell>
          <cell r="E597" t="str">
            <v>PPR 90° Reducing Tee dn90x40 (3"X1-1/4") Green(INA) - LESSO</v>
          </cell>
          <cell r="F597">
            <v>1</v>
          </cell>
          <cell r="G597">
            <v>51793</v>
          </cell>
          <cell r="H597">
            <v>46661</v>
          </cell>
          <cell r="I597">
            <v>0.12</v>
          </cell>
          <cell r="J597">
            <v>53024</v>
          </cell>
          <cell r="K597">
            <v>0.1</v>
          </cell>
          <cell r="L597">
            <v>51846</v>
          </cell>
        </row>
        <row r="598">
          <cell r="C598">
            <v>8010071353</v>
          </cell>
          <cell r="D598" t="str">
            <v>90°异径三通(PPR 配件)印尼绿色 dn90x50 (3"X1-1/2") 联塑</v>
          </cell>
          <cell r="E598" t="str">
            <v>PPR 90° Reducing Tee dn90x50 (3"X1-1/2") Green(INA) - LESSO</v>
          </cell>
          <cell r="F598">
            <v>1</v>
          </cell>
          <cell r="G598">
            <v>72030</v>
          </cell>
          <cell r="H598">
            <v>64892</v>
          </cell>
          <cell r="I598">
            <v>0.12</v>
          </cell>
          <cell r="J598">
            <v>73741</v>
          </cell>
          <cell r="K598">
            <v>0.1</v>
          </cell>
          <cell r="L598">
            <v>72103</v>
          </cell>
        </row>
        <row r="599">
          <cell r="C599">
            <v>8010071354</v>
          </cell>
          <cell r="D599" t="str">
            <v>90°异径三通(PPR 配件)印尼绿色 dn90x63 (3"X2") 联塑</v>
          </cell>
          <cell r="E599" t="str">
            <v>PPR 90° Reducing Tee dn90x63 (3"X2") Green(INA) - LESSO</v>
          </cell>
          <cell r="F599">
            <v>1</v>
          </cell>
          <cell r="G599">
            <v>82320</v>
          </cell>
          <cell r="H599">
            <v>74163</v>
          </cell>
          <cell r="I599">
            <v>0.12</v>
          </cell>
          <cell r="J599">
            <v>84277</v>
          </cell>
          <cell r="K599">
            <v>0.1</v>
          </cell>
          <cell r="L599">
            <v>82404</v>
          </cell>
        </row>
        <row r="600">
          <cell r="C600">
            <v>8010071355</v>
          </cell>
          <cell r="D600" t="str">
            <v>90°异径三通(PPR 配件)印尼绿色 dn90x75 (3"X2-1/2") 联塑</v>
          </cell>
          <cell r="E600" t="str">
            <v>PPR 90° Reducing Tee dn90x75 (3"X2-1/2") Green(INA) - LESSO</v>
          </cell>
          <cell r="F600">
            <v>1</v>
          </cell>
          <cell r="G600">
            <v>153615</v>
          </cell>
          <cell r="H600">
            <v>138392</v>
          </cell>
          <cell r="I600">
            <v>0.12</v>
          </cell>
          <cell r="J600">
            <v>157264</v>
          </cell>
          <cell r="K600">
            <v>0.1</v>
          </cell>
          <cell r="L600">
            <v>153769</v>
          </cell>
        </row>
        <row r="601">
          <cell r="C601">
            <v>8010071356</v>
          </cell>
          <cell r="D601" t="str">
            <v>90°异径三通(PPR 配件)印尼绿色 dn110x50 (4"X1-1/2") 联塑</v>
          </cell>
          <cell r="E601" t="str">
            <v>PPR 90° REDUCING TEE dn110x50 (4"X1-1/2") Green(INA) - LESSO</v>
          </cell>
          <cell r="F601">
            <v>1</v>
          </cell>
          <cell r="G601">
            <v>124950</v>
          </cell>
          <cell r="H601">
            <v>112568</v>
          </cell>
          <cell r="I601">
            <v>0.12</v>
          </cell>
          <cell r="J601">
            <v>127919</v>
          </cell>
          <cell r="K601">
            <v>0.1</v>
          </cell>
          <cell r="L601">
            <v>125076</v>
          </cell>
        </row>
        <row r="602">
          <cell r="C602">
            <v>8010071357</v>
          </cell>
          <cell r="D602" t="str">
            <v>90°异径三通(PPR 配件)印尼绿色 dn110x63 (4"X2") 联塑</v>
          </cell>
          <cell r="E602" t="str">
            <v>PPR 90° Reducing Tee dn110x63 (4"X2") Green(INA) - LESSO</v>
          </cell>
          <cell r="F602">
            <v>1</v>
          </cell>
          <cell r="G602">
            <v>138180</v>
          </cell>
          <cell r="H602">
            <v>124487</v>
          </cell>
          <cell r="I602">
            <v>0.12</v>
          </cell>
          <cell r="J602">
            <v>141463</v>
          </cell>
          <cell r="K602">
            <v>0.1</v>
          </cell>
          <cell r="L602">
            <v>138319</v>
          </cell>
        </row>
        <row r="603">
          <cell r="C603">
            <v>8010071358</v>
          </cell>
          <cell r="D603" t="str">
            <v>90°异径三通(PPR 配件)印尼绿色 dn110x75 (4"X2-1/2") 联塑</v>
          </cell>
          <cell r="E603" t="str">
            <v>PPR 90° Reducing Tee dn110x75 (4"X2-1/2") Green(INA) - LESSO</v>
          </cell>
          <cell r="F603">
            <v>1</v>
          </cell>
          <cell r="G603">
            <v>158564</v>
          </cell>
          <cell r="H603">
            <v>142851</v>
          </cell>
          <cell r="I603">
            <v>0.12</v>
          </cell>
          <cell r="J603">
            <v>162331</v>
          </cell>
          <cell r="K603">
            <v>0.1</v>
          </cell>
          <cell r="L603">
            <v>158724</v>
          </cell>
        </row>
        <row r="604">
          <cell r="C604">
            <v>8010071359</v>
          </cell>
          <cell r="D604" t="str">
            <v>90°异径三通(PPR 配件)印尼绿色 dn110x90 (4"X3") 联塑</v>
          </cell>
          <cell r="E604" t="str">
            <v>PPR 90° Reducing Tee dn110x90 (4"X3") Green(INA) - LESSO</v>
          </cell>
          <cell r="F604">
            <v>1</v>
          </cell>
          <cell r="G604">
            <v>187670</v>
          </cell>
          <cell r="H604">
            <v>169073</v>
          </cell>
          <cell r="I604">
            <v>0.12</v>
          </cell>
          <cell r="J604">
            <v>192129</v>
          </cell>
          <cell r="K604">
            <v>0.1</v>
          </cell>
          <cell r="L604">
            <v>187859</v>
          </cell>
        </row>
        <row r="605">
          <cell r="C605">
            <v>8010072475</v>
          </cell>
          <cell r="D605" t="str">
            <v>90°异径三通(PPR 配件)印尼绿色 dn20x25x20 (1/2"x3/4"x1/2") 联塑</v>
          </cell>
          <cell r="E605" t="str">
            <v>PPR Reducing Tee dn20x25x20 (1/2"x3/4"x1/2") Green(INA) - LESSO</v>
          </cell>
          <cell r="F605">
            <v>1</v>
          </cell>
          <cell r="G605">
            <v>2156</v>
          </cell>
          <cell r="H605">
            <v>1943</v>
          </cell>
          <cell r="I605">
            <v>0.12</v>
          </cell>
          <cell r="J605">
            <v>2208</v>
          </cell>
          <cell r="K605">
            <v>0.1</v>
          </cell>
          <cell r="L605">
            <v>2159</v>
          </cell>
        </row>
        <row r="606">
          <cell r="C606">
            <v>8010072476</v>
          </cell>
          <cell r="D606" t="str">
            <v>90°异径三通(PPR 配件)印尼绿色 dn25x20x20 (3/4"x1/2"x1/2") 联塑</v>
          </cell>
          <cell r="E606" t="str">
            <v>PPR Reducing Tee dn25x20x20 (3/4"x1/2"x1/2") Green(INA) - LESSO</v>
          </cell>
          <cell r="F606">
            <v>1</v>
          </cell>
          <cell r="G606">
            <v>2450</v>
          </cell>
          <cell r="H606">
            <v>2208</v>
          </cell>
          <cell r="I606">
            <v>0.12</v>
          </cell>
          <cell r="J606">
            <v>2510</v>
          </cell>
          <cell r="K606">
            <v>0.1</v>
          </cell>
          <cell r="L606">
            <v>2454</v>
          </cell>
        </row>
        <row r="607">
          <cell r="C607">
            <v>8010072754</v>
          </cell>
          <cell r="D607" t="str">
            <v>外螺纹直接头Ⅰ型(PPR 配件)印尼绿色 dn16x1/2" 联塑</v>
          </cell>
          <cell r="E607" t="str">
            <v>PPR Male Thread Adapter I dn16x1/2" Green(INA) - LESSO</v>
          </cell>
          <cell r="F607">
            <v>1</v>
          </cell>
          <cell r="G607">
            <v>42493</v>
          </cell>
          <cell r="H607">
            <v>38282</v>
          </cell>
          <cell r="I607">
            <v>0.12</v>
          </cell>
          <cell r="J607">
            <v>43503</v>
          </cell>
          <cell r="K607">
            <v>0.1</v>
          </cell>
          <cell r="L607">
            <v>42536</v>
          </cell>
        </row>
        <row r="608">
          <cell r="C608">
            <v>8010071491</v>
          </cell>
          <cell r="D608" t="str">
            <v>外螺纹直接头Ⅰ型(PPR 配件)印尼绿色 dn20x1/2" 联塑</v>
          </cell>
          <cell r="E608" t="str">
            <v>PPR Male Thread Adapter I dn20x1/2" Green(INA) - LESSO</v>
          </cell>
          <cell r="F608">
            <v>1</v>
          </cell>
          <cell r="G608">
            <v>13566</v>
          </cell>
          <cell r="H608">
            <v>12222</v>
          </cell>
          <cell r="I608">
            <v>0.12</v>
          </cell>
          <cell r="J608">
            <v>13889</v>
          </cell>
          <cell r="K608">
            <v>0.1</v>
          </cell>
          <cell r="L608">
            <v>13580</v>
          </cell>
        </row>
        <row r="609">
          <cell r="C609">
            <v>8010072350</v>
          </cell>
          <cell r="D609" t="str">
            <v>外螺纹直接头Ⅰ型(PPR 配件)印尼绿色 dn20x3/4" 联塑</v>
          </cell>
          <cell r="E609" t="str">
            <v>PPR Male Thread Adapter I dn20×3/4" Green(INA) - LESSO</v>
          </cell>
          <cell r="F609">
            <v>1</v>
          </cell>
          <cell r="G609">
            <v>17043</v>
          </cell>
          <cell r="H609">
            <v>15355</v>
          </cell>
          <cell r="I609">
            <v>0.12</v>
          </cell>
          <cell r="J609">
            <v>17449</v>
          </cell>
          <cell r="K609">
            <v>0.1</v>
          </cell>
          <cell r="L609">
            <v>17062</v>
          </cell>
        </row>
        <row r="610">
          <cell r="C610">
            <v>8010071492</v>
          </cell>
          <cell r="D610" t="str">
            <v>外螺纹直接头Ⅰ型(PPR 配件)印尼绿色 dn25x1/2" 联塑</v>
          </cell>
          <cell r="E610" t="str">
            <v>PPR Male Thread Adapter I dn25x1/2" Green(INA) - LESSO</v>
          </cell>
          <cell r="F610">
            <v>1</v>
          </cell>
          <cell r="G610">
            <v>13680</v>
          </cell>
          <cell r="H610">
            <v>12325</v>
          </cell>
          <cell r="I610">
            <v>0.12</v>
          </cell>
          <cell r="J610">
            <v>14006</v>
          </cell>
          <cell r="K610">
            <v>0.1</v>
          </cell>
          <cell r="L610">
            <v>13695</v>
          </cell>
        </row>
        <row r="611">
          <cell r="C611">
            <v>8010071493</v>
          </cell>
          <cell r="D611" t="str">
            <v>外螺纹直接头Ⅰ型(PPR 配件)印尼绿色 dn25x3/4" 联塑</v>
          </cell>
          <cell r="E611" t="str">
            <v>PPR Male Thread Adapter I dn25x3/4" Green(INA) - LESSO</v>
          </cell>
          <cell r="F611">
            <v>1</v>
          </cell>
          <cell r="G611">
            <v>17271</v>
          </cell>
          <cell r="H611">
            <v>15560</v>
          </cell>
          <cell r="I611">
            <v>0.12</v>
          </cell>
          <cell r="J611">
            <v>17682</v>
          </cell>
          <cell r="K611">
            <v>0.1</v>
          </cell>
          <cell r="L611">
            <v>17289</v>
          </cell>
        </row>
        <row r="612">
          <cell r="C612">
            <v>8010071494</v>
          </cell>
          <cell r="D612" t="str">
            <v>外螺纹直接头Ⅰ型(PPR 配件)印尼绿色 dn32x1/2" 联塑</v>
          </cell>
          <cell r="E612" t="str">
            <v>PPR Male Thread Adapter I dn32x1/2" Green(INA) - LESSO</v>
          </cell>
          <cell r="F612">
            <v>1</v>
          </cell>
          <cell r="G612">
            <v>14934</v>
          </cell>
          <cell r="H612">
            <v>13455</v>
          </cell>
          <cell r="I612">
            <v>0.12</v>
          </cell>
          <cell r="J612">
            <v>15290</v>
          </cell>
          <cell r="K612">
            <v>0.1</v>
          </cell>
          <cell r="L612">
            <v>14950</v>
          </cell>
        </row>
        <row r="613">
          <cell r="C613">
            <v>8010071732</v>
          </cell>
          <cell r="D613" t="str">
            <v>外螺纹直接头Ⅰ型(PPR 配件)印尼绿色 dn32x3/4" 联塑</v>
          </cell>
          <cell r="E613" t="str">
            <v>PPR Male Thread Adapter I dn32x3/4" Green(INA) - LESSO</v>
          </cell>
          <cell r="F613">
            <v>1</v>
          </cell>
          <cell r="G613">
            <v>17841</v>
          </cell>
          <cell r="H613">
            <v>16073</v>
          </cell>
          <cell r="I613">
            <v>0.12</v>
          </cell>
          <cell r="J613">
            <v>18265</v>
          </cell>
          <cell r="K613">
            <v>0.1</v>
          </cell>
          <cell r="L613">
            <v>17859</v>
          </cell>
        </row>
        <row r="614">
          <cell r="C614">
            <v>8010071616</v>
          </cell>
          <cell r="D614" t="str">
            <v>外螺纹直接头Ⅱ型(PPR 配件)印尼绿色 dn32x1" 联塑</v>
          </cell>
          <cell r="E614" t="str">
            <v>PPR Male Thread Adapter II dn32x1" Green(INA) - LESSO</v>
          </cell>
          <cell r="F614">
            <v>1</v>
          </cell>
          <cell r="G614">
            <v>60990</v>
          </cell>
          <cell r="H614">
            <v>54946</v>
          </cell>
          <cell r="I614">
            <v>0.12</v>
          </cell>
          <cell r="J614">
            <v>62439</v>
          </cell>
          <cell r="K614">
            <v>0.1</v>
          </cell>
          <cell r="L614">
            <v>61052</v>
          </cell>
        </row>
        <row r="615">
          <cell r="C615">
            <v>8010072351</v>
          </cell>
          <cell r="D615" t="str">
            <v>外螺纹直接头Ⅱ型(PPR 配件)印尼绿色 dn40x1" 联塑</v>
          </cell>
          <cell r="E615" t="str">
            <v>PPR Male Thread Adapter II dn40×1" Green(INA) - LESSO</v>
          </cell>
          <cell r="F615">
            <v>1</v>
          </cell>
          <cell r="G615">
            <v>61674</v>
          </cell>
          <cell r="H615">
            <v>55563</v>
          </cell>
          <cell r="I615">
            <v>0.12</v>
          </cell>
          <cell r="J615">
            <v>63140</v>
          </cell>
          <cell r="K615">
            <v>0.1</v>
          </cell>
          <cell r="L615">
            <v>61737</v>
          </cell>
        </row>
        <row r="616">
          <cell r="C616">
            <v>8010071495</v>
          </cell>
          <cell r="D616" t="str">
            <v>外螺纹直接头Ⅱ型(PPR 配件)印尼绿色 dn40x1-1/4" 联塑</v>
          </cell>
          <cell r="E616" t="str">
            <v>PPR Male Thread Adapter II dn40x1-1/4" Green(INA) - LESSO</v>
          </cell>
          <cell r="F616">
            <v>1</v>
          </cell>
          <cell r="G616">
            <v>110181</v>
          </cell>
          <cell r="H616">
            <v>99263</v>
          </cell>
          <cell r="I616">
            <v>0.12</v>
          </cell>
          <cell r="J616">
            <v>112799</v>
          </cell>
          <cell r="K616">
            <v>0.1</v>
          </cell>
          <cell r="L616">
            <v>110293</v>
          </cell>
        </row>
        <row r="617">
          <cell r="C617">
            <v>8010071496</v>
          </cell>
          <cell r="D617" t="str">
            <v>外螺纹直接头Ⅱ型(PPR 配件)印尼绿色 dn50x1-1/2" 联塑</v>
          </cell>
          <cell r="E617" t="str">
            <v>PPR Male Thread Adapter II dn50×1-1/2" Green(INA) - LESSO</v>
          </cell>
          <cell r="F617">
            <v>1</v>
          </cell>
          <cell r="G617">
            <v>135090</v>
          </cell>
          <cell r="H617">
            <v>121703</v>
          </cell>
          <cell r="I617">
            <v>0.12</v>
          </cell>
          <cell r="J617">
            <v>138299</v>
          </cell>
          <cell r="K617">
            <v>0.1</v>
          </cell>
          <cell r="L617">
            <v>135226</v>
          </cell>
        </row>
        <row r="618">
          <cell r="C618">
            <v>8010072755</v>
          </cell>
          <cell r="D618" t="str">
            <v>外螺纹直接头Ⅱ型(PPR 配件)印尼绿色 dn50x1-1/4" 联塑</v>
          </cell>
          <cell r="E618" t="str">
            <v>PPR Male Thread Adapter II dn50x1-1/4" Green(INA) - LESSO</v>
          </cell>
          <cell r="F618">
            <v>1</v>
          </cell>
          <cell r="G618">
            <v>111264</v>
          </cell>
          <cell r="H618">
            <v>100238</v>
          </cell>
          <cell r="I618">
            <v>0.12</v>
          </cell>
          <cell r="J618">
            <v>113907</v>
          </cell>
          <cell r="K618">
            <v>0.1</v>
          </cell>
          <cell r="L618">
            <v>111376</v>
          </cell>
        </row>
        <row r="619">
          <cell r="C619">
            <v>8010070745</v>
          </cell>
          <cell r="D619" t="str">
            <v>外螺纹直接头Ⅱ型(PPR 配件)绿色 dn50x1-1/4" 联塑</v>
          </cell>
          <cell r="E619" t="str">
            <v>PPR Male Thread Adapter II dn50x1-1/4" Green - LESSO</v>
          </cell>
          <cell r="F619">
            <v>1</v>
          </cell>
          <cell r="G619">
            <v>380703</v>
          </cell>
          <cell r="H619">
            <v>342976</v>
          </cell>
          <cell r="I619">
            <v>0.12</v>
          </cell>
          <cell r="J619">
            <v>389746</v>
          </cell>
          <cell r="K619">
            <v>0.1</v>
          </cell>
          <cell r="L619">
            <v>381085</v>
          </cell>
        </row>
        <row r="620">
          <cell r="C620">
            <v>8010071497</v>
          </cell>
          <cell r="D620" t="str">
            <v>外螺纹直接头Ⅱ型(PPR 配件)印尼绿色 dn63x2" 联塑</v>
          </cell>
          <cell r="E620" t="str">
            <v>PPR Male Thread Adapter II dn63x2" Green(INA) - LESSO</v>
          </cell>
          <cell r="F620">
            <v>1</v>
          </cell>
          <cell r="G620">
            <v>191463</v>
          </cell>
          <cell r="H620">
            <v>172490</v>
          </cell>
          <cell r="I620">
            <v>0.12</v>
          </cell>
          <cell r="J620">
            <v>196012</v>
          </cell>
          <cell r="K620">
            <v>0.1</v>
          </cell>
          <cell r="L620">
            <v>191656</v>
          </cell>
        </row>
        <row r="621">
          <cell r="C621">
            <v>8010072358</v>
          </cell>
          <cell r="D621" t="str">
            <v>外螺纹直接头Ⅱ型(PPR 配件)印尼绿色 dn75x2" 联塑</v>
          </cell>
          <cell r="E621" t="str">
            <v>PPR Male thread adapter II dn75x2" Green(INA) - LESSO</v>
          </cell>
          <cell r="F621">
            <v>1</v>
          </cell>
          <cell r="G621">
            <v>197904</v>
          </cell>
          <cell r="H621">
            <v>178292</v>
          </cell>
          <cell r="I621">
            <v>0.12</v>
          </cell>
          <cell r="J621">
            <v>202605</v>
          </cell>
          <cell r="K621">
            <v>0.1</v>
          </cell>
          <cell r="L621">
            <v>198103</v>
          </cell>
        </row>
        <row r="622">
          <cell r="C622">
            <v>8010072748</v>
          </cell>
          <cell r="D622" t="str">
            <v>内螺纹直接头Ⅰ型(PPR 配件)印尼绿色 dn16x1/2" 联塑</v>
          </cell>
          <cell r="E622" t="str">
            <v>PPR Female Thread Adapter I dn16x1/2" Green(INA) - LESSO</v>
          </cell>
          <cell r="F622">
            <v>1</v>
          </cell>
          <cell r="G622">
            <v>35910</v>
          </cell>
          <cell r="H622">
            <v>32352</v>
          </cell>
          <cell r="I622">
            <v>0.12</v>
          </cell>
          <cell r="J622">
            <v>36764</v>
          </cell>
          <cell r="K622">
            <v>0.1</v>
          </cell>
          <cell r="L622">
            <v>35947</v>
          </cell>
        </row>
        <row r="623">
          <cell r="C623">
            <v>8010071387</v>
          </cell>
          <cell r="D623" t="str">
            <v>内螺纹直接头Ⅰ型(PPR 配件)印尼绿色 dn20x1/2" 联塑</v>
          </cell>
          <cell r="E623" t="str">
            <v>PPR Female Thread Adapter I dn20x1/2" Green(INA) - LESSO</v>
          </cell>
          <cell r="F623">
            <v>1</v>
          </cell>
          <cell r="G623">
            <v>9804</v>
          </cell>
          <cell r="H623">
            <v>8833</v>
          </cell>
          <cell r="I623">
            <v>0.12</v>
          </cell>
          <cell r="J623">
            <v>10038</v>
          </cell>
          <cell r="K623">
            <v>0.1</v>
          </cell>
          <cell r="L623">
            <v>9815</v>
          </cell>
        </row>
        <row r="624">
          <cell r="C624">
            <v>8010072347</v>
          </cell>
          <cell r="D624" t="str">
            <v>内螺纹直接头Ⅰ型(PPR 配件)印尼绿色 dn20x3/4" 联塑</v>
          </cell>
          <cell r="E624" t="str">
            <v>PPR Female Thread Adapter I dn20x3/4" Green(INA) - LESSO</v>
          </cell>
          <cell r="F624">
            <v>1</v>
          </cell>
          <cell r="G624">
            <v>12711</v>
          </cell>
          <cell r="H624">
            <v>11452</v>
          </cell>
          <cell r="I624">
            <v>0.12</v>
          </cell>
          <cell r="J624">
            <v>13014</v>
          </cell>
          <cell r="K624">
            <v>0.1</v>
          </cell>
          <cell r="L624">
            <v>12725</v>
          </cell>
        </row>
        <row r="625">
          <cell r="C625">
            <v>8010071388</v>
          </cell>
          <cell r="D625" t="str">
            <v>内螺纹直接头Ⅰ型(PPR 配件)印尼绿色 dn25x1/2" 联塑</v>
          </cell>
          <cell r="E625" t="str">
            <v>PPR Female Thread Adapter I dn25x1/2" Green(INA) - LESSO</v>
          </cell>
          <cell r="F625">
            <v>1</v>
          </cell>
          <cell r="G625">
            <v>9804</v>
          </cell>
          <cell r="H625">
            <v>8833</v>
          </cell>
          <cell r="I625">
            <v>0.12</v>
          </cell>
          <cell r="J625">
            <v>10038</v>
          </cell>
          <cell r="K625">
            <v>0.1</v>
          </cell>
          <cell r="L625">
            <v>9815</v>
          </cell>
        </row>
        <row r="626">
          <cell r="C626">
            <v>8010071389</v>
          </cell>
          <cell r="D626" t="str">
            <v>内螺纹直接头Ⅰ型(PPR 配件)印尼绿色 dn25x3/4" 联塑</v>
          </cell>
          <cell r="E626" t="str">
            <v>PPR Female Thread Adapter I dn25x3/4" Green(INA) - LESSO</v>
          </cell>
          <cell r="F626">
            <v>1</v>
          </cell>
          <cell r="G626">
            <v>13053</v>
          </cell>
          <cell r="H626">
            <v>11760</v>
          </cell>
          <cell r="I626">
            <v>0.12</v>
          </cell>
          <cell r="J626">
            <v>13364</v>
          </cell>
          <cell r="K626">
            <v>0.1</v>
          </cell>
          <cell r="L626">
            <v>13067</v>
          </cell>
        </row>
        <row r="627">
          <cell r="C627">
            <v>8010072348</v>
          </cell>
          <cell r="D627" t="str">
            <v>内螺纹直接头Ⅰ型(PPR 配件)印尼绿色 dn32x1/2" 联塑</v>
          </cell>
          <cell r="E627" t="str">
            <v>PPR Female Thread Adapter I dn32x1/2" Green(INA) - LESSO</v>
          </cell>
          <cell r="F627">
            <v>1</v>
          </cell>
          <cell r="G627">
            <v>10032</v>
          </cell>
          <cell r="H627">
            <v>9038</v>
          </cell>
          <cell r="I627">
            <v>0.12</v>
          </cell>
          <cell r="J627">
            <v>10271</v>
          </cell>
          <cell r="K627">
            <v>0.1</v>
          </cell>
          <cell r="L627">
            <v>10043</v>
          </cell>
        </row>
        <row r="628">
          <cell r="C628">
            <v>8010071731</v>
          </cell>
          <cell r="D628" t="str">
            <v>内螺纹直接头Ⅰ型(PPR 配件)印尼绿色 dn32x3/4" 联塑</v>
          </cell>
          <cell r="E628" t="str">
            <v>PPR Female Thread Adapter I dn32x3/4" Green(INA) - LESSO</v>
          </cell>
          <cell r="F628">
            <v>1</v>
          </cell>
          <cell r="G628">
            <v>13224</v>
          </cell>
          <cell r="H628">
            <v>11914</v>
          </cell>
          <cell r="I628">
            <v>0.12</v>
          </cell>
          <cell r="J628">
            <v>13539</v>
          </cell>
          <cell r="K628">
            <v>0.1</v>
          </cell>
          <cell r="L628">
            <v>13238</v>
          </cell>
        </row>
        <row r="629">
          <cell r="C629">
            <v>8010072480</v>
          </cell>
          <cell r="D629" t="str">
            <v>内螺纹直接头Ⅱ型(PPR 配件)印尼绿色 dn20x1/2" 联塑</v>
          </cell>
          <cell r="E629" t="str">
            <v>PPR Female Thread Adapter II dn20x1/2" Green(INA) - LESSO</v>
          </cell>
          <cell r="F629">
            <v>1</v>
          </cell>
          <cell r="G629">
            <v>23883</v>
          </cell>
          <cell r="H629">
            <v>21517</v>
          </cell>
          <cell r="I629">
            <v>0.12</v>
          </cell>
          <cell r="J629">
            <v>24452</v>
          </cell>
          <cell r="K629">
            <v>0.1</v>
          </cell>
          <cell r="L629">
            <v>23908</v>
          </cell>
        </row>
        <row r="630">
          <cell r="C630">
            <v>8010072481</v>
          </cell>
          <cell r="D630" t="str">
            <v>内螺纹直接头Ⅱ型(PPR 配件)印尼绿色 dn20x3/4" 联塑</v>
          </cell>
          <cell r="E630" t="str">
            <v>PPR Female Thread Adapter II dn20x3/4" Green(INA) - LESSO</v>
          </cell>
          <cell r="F630">
            <v>1</v>
          </cell>
          <cell r="G630">
            <v>40641</v>
          </cell>
          <cell r="H630">
            <v>36614</v>
          </cell>
          <cell r="I630">
            <v>0.12</v>
          </cell>
          <cell r="J630">
            <v>41607</v>
          </cell>
          <cell r="K630">
            <v>0.1</v>
          </cell>
          <cell r="L630">
            <v>40683</v>
          </cell>
        </row>
        <row r="631">
          <cell r="C631">
            <v>8010072482</v>
          </cell>
          <cell r="D631" t="str">
            <v>内螺纹直接头Ⅱ型(PPR 配件)印尼绿色 dn25x3/4" 联塑</v>
          </cell>
          <cell r="E631" t="str">
            <v>PPR Female Thread Adapter II dn25x3/4" Green(INA) - LESSO</v>
          </cell>
          <cell r="F631">
            <v>1</v>
          </cell>
          <cell r="G631">
            <v>35340</v>
          </cell>
          <cell r="H631">
            <v>31838</v>
          </cell>
          <cell r="I631">
            <v>0.12</v>
          </cell>
          <cell r="J631">
            <v>36180</v>
          </cell>
          <cell r="K631">
            <v>0.1</v>
          </cell>
          <cell r="L631">
            <v>35376</v>
          </cell>
        </row>
        <row r="632">
          <cell r="C632">
            <v>8010071390</v>
          </cell>
          <cell r="D632" t="str">
            <v>内螺纹直接头Ⅱ型(PPR 配件)印尼绿色 dn32x1" 联塑</v>
          </cell>
          <cell r="E632" t="str">
            <v>PPR Female Thread Adapter II dn32x1" Green(INA) - LESSO</v>
          </cell>
          <cell r="F632">
            <v>1</v>
          </cell>
          <cell r="G632">
            <v>44232</v>
          </cell>
          <cell r="H632">
            <v>39849</v>
          </cell>
          <cell r="I632">
            <v>0.12</v>
          </cell>
          <cell r="J632">
            <v>45283</v>
          </cell>
          <cell r="K632">
            <v>0.1</v>
          </cell>
          <cell r="L632">
            <v>44277</v>
          </cell>
        </row>
        <row r="633">
          <cell r="C633">
            <v>8010072349</v>
          </cell>
          <cell r="D633" t="str">
            <v>内螺纹直接头Ⅱ型(PPR 配件)印尼绿色 dn40x1" 联塑</v>
          </cell>
          <cell r="E633" t="str">
            <v>PPR Female Thread Adapter II dn40×1" Green(INA) - LESSO</v>
          </cell>
          <cell r="F633">
            <v>1</v>
          </cell>
          <cell r="G633">
            <v>44574</v>
          </cell>
          <cell r="H633">
            <v>40157</v>
          </cell>
          <cell r="I633">
            <v>0.12</v>
          </cell>
          <cell r="J633">
            <v>45633</v>
          </cell>
          <cell r="K633">
            <v>0.1</v>
          </cell>
          <cell r="L633">
            <v>44619</v>
          </cell>
        </row>
        <row r="634">
          <cell r="C634">
            <v>8010071391</v>
          </cell>
          <cell r="D634" t="str">
            <v>内螺纹直接头Ⅱ型(PPR 配件)印尼绿色 dn40x1-1/4" 联塑</v>
          </cell>
          <cell r="E634" t="str">
            <v>PPR Female Thread Adapter II dn40×1-1/4" Green(INA) - LESSO</v>
          </cell>
          <cell r="F634">
            <v>1</v>
          </cell>
          <cell r="G634">
            <v>76665</v>
          </cell>
          <cell r="H634">
            <v>69068</v>
          </cell>
          <cell r="I634">
            <v>0.12</v>
          </cell>
          <cell r="J634">
            <v>78487</v>
          </cell>
          <cell r="K634">
            <v>0.1</v>
          </cell>
          <cell r="L634">
            <v>76743</v>
          </cell>
        </row>
        <row r="635">
          <cell r="C635">
            <v>8010071392</v>
          </cell>
          <cell r="D635" t="str">
            <v>内螺纹直接头Ⅱ型(PPR 配件)印尼绿色 dn50x1-1/2" 联塑</v>
          </cell>
          <cell r="E635" t="str">
            <v>PPR Female Thread Adapter II dn50×1-1/2" Green(INA) - LESSO</v>
          </cell>
          <cell r="F635">
            <v>1</v>
          </cell>
          <cell r="G635">
            <v>94848</v>
          </cell>
          <cell r="H635">
            <v>85449</v>
          </cell>
          <cell r="I635">
            <v>0.12</v>
          </cell>
          <cell r="J635">
            <v>97102</v>
          </cell>
          <cell r="K635">
            <v>0.1</v>
          </cell>
          <cell r="L635">
            <v>94944</v>
          </cell>
        </row>
        <row r="636">
          <cell r="C636">
            <v>8010072749</v>
          </cell>
          <cell r="D636" t="str">
            <v>内螺纹直接头Ⅱ型(PPR 配件)印尼绿色 dn50x1-1/4" 联塑</v>
          </cell>
          <cell r="E636" t="str">
            <v>PPR Female Thread Adapter II dn50x1-1/4" Green(INA) - LESSO</v>
          </cell>
          <cell r="F636">
            <v>1</v>
          </cell>
          <cell r="G636">
            <v>77748</v>
          </cell>
          <cell r="H636">
            <v>70044</v>
          </cell>
          <cell r="I636">
            <v>0.12</v>
          </cell>
          <cell r="J636">
            <v>79596</v>
          </cell>
          <cell r="K636">
            <v>0.1</v>
          </cell>
          <cell r="L636">
            <v>77827</v>
          </cell>
        </row>
        <row r="637">
          <cell r="C637">
            <v>8010071393</v>
          </cell>
          <cell r="D637" t="str">
            <v>内螺纹直接头Ⅱ型(PPR 配件)印尼绿色 dn63x2" 联塑</v>
          </cell>
          <cell r="E637" t="str">
            <v>PPR Female Thread Adapter II dn63x2" Green(INA) - LESSO</v>
          </cell>
          <cell r="F637">
            <v>1</v>
          </cell>
          <cell r="G637">
            <v>142956</v>
          </cell>
          <cell r="H637">
            <v>128790</v>
          </cell>
          <cell r="I637">
            <v>0.12</v>
          </cell>
          <cell r="J637">
            <v>146353</v>
          </cell>
          <cell r="K637">
            <v>0.1</v>
          </cell>
          <cell r="L637">
            <v>143100</v>
          </cell>
        </row>
        <row r="638">
          <cell r="C638">
            <v>8010072357</v>
          </cell>
          <cell r="D638" t="str">
            <v>内螺纹直接头Ⅱ型(PPR 配件)印尼绿色 dn75x2" 联塑</v>
          </cell>
          <cell r="E638" t="str">
            <v>PPR Female Thread Adapter II dn75×2" Green(INA) - LESSO</v>
          </cell>
          <cell r="F638">
            <v>1</v>
          </cell>
          <cell r="G638">
            <v>157947</v>
          </cell>
          <cell r="H638">
            <v>142295</v>
          </cell>
          <cell r="I638">
            <v>0.12</v>
          </cell>
          <cell r="J638">
            <v>161699</v>
          </cell>
          <cell r="K638">
            <v>0.1</v>
          </cell>
          <cell r="L638">
            <v>158106</v>
          </cell>
        </row>
        <row r="639">
          <cell r="C639">
            <v>8010072270</v>
          </cell>
          <cell r="D639" t="str">
            <v>内螺纹管接头(金属与塑胶)(PPR 配件)印尼绿色 dn20x1/2" 联塑</v>
          </cell>
          <cell r="E639" t="str">
            <v>PPR Female Thread Union(Metal &amp; Plastic) dn20x1/2" Green(INA) - LESSO</v>
          </cell>
          <cell r="F639">
            <v>1</v>
          </cell>
          <cell r="G639">
            <v>31920</v>
          </cell>
          <cell r="H639">
            <v>28757</v>
          </cell>
          <cell r="I639">
            <v>0.12</v>
          </cell>
          <cell r="J639">
            <v>32679</v>
          </cell>
          <cell r="K639">
            <v>0.1</v>
          </cell>
          <cell r="L639">
            <v>31953</v>
          </cell>
        </row>
        <row r="640">
          <cell r="C640">
            <v>8010072305</v>
          </cell>
          <cell r="D640" t="str">
            <v>内螺纹管接头(金属与塑胶)(PPR 配件)印尼绿色 dn25x1" 联塑</v>
          </cell>
          <cell r="E640" t="str">
            <v>PPR Female Thread Union (Metal &amp; Plastic) dn25x1" Green(INA) - LESSO</v>
          </cell>
          <cell r="F640">
            <v>1</v>
          </cell>
          <cell r="G640">
            <v>56715</v>
          </cell>
          <cell r="H640">
            <v>51095</v>
          </cell>
          <cell r="I640">
            <v>0.12</v>
          </cell>
          <cell r="J640">
            <v>58063</v>
          </cell>
          <cell r="K640">
            <v>0.1</v>
          </cell>
          <cell r="L640">
            <v>56773</v>
          </cell>
        </row>
        <row r="641">
          <cell r="C641">
            <v>8010072271</v>
          </cell>
          <cell r="D641" t="str">
            <v>内螺纹管接头(金属与塑胶)(PPR 配件)印尼绿色 dn25x3/4" 联塑</v>
          </cell>
          <cell r="E641" t="str">
            <v>PPR Female Thread Union (Metal &amp; Plastic) dn25x3/4" Green(INA) - LESSO</v>
          </cell>
          <cell r="F641">
            <v>1</v>
          </cell>
          <cell r="G641">
            <v>45657</v>
          </cell>
          <cell r="H641">
            <v>41133</v>
          </cell>
          <cell r="I641">
            <v>0.12</v>
          </cell>
          <cell r="J641">
            <v>46743</v>
          </cell>
          <cell r="K641">
            <v>0.1</v>
          </cell>
          <cell r="L641">
            <v>45704</v>
          </cell>
        </row>
        <row r="642">
          <cell r="C642">
            <v>8010072355</v>
          </cell>
          <cell r="D642" t="str">
            <v>内螺纹管接头(金属与塑胶)(PPR 配件)印尼绿色 dn32x1" 联塑</v>
          </cell>
          <cell r="E642" t="str">
            <v>PPR Female Thread Union (Metal &amp; Plastic) dn32x1" Green(INA) - LESSO</v>
          </cell>
          <cell r="F642">
            <v>1</v>
          </cell>
          <cell r="G642">
            <v>84873</v>
          </cell>
          <cell r="H642">
            <v>76463</v>
          </cell>
          <cell r="I642">
            <v>0.12</v>
          </cell>
          <cell r="J642">
            <v>86890</v>
          </cell>
          <cell r="K642">
            <v>0.1</v>
          </cell>
          <cell r="L642">
            <v>84959</v>
          </cell>
        </row>
        <row r="643">
          <cell r="C643">
            <v>8010072306</v>
          </cell>
          <cell r="D643" t="str">
            <v>内螺纹管接头(金属与塑胶)(PPR 配件)印尼绿色 dn32x3/4" 联塑</v>
          </cell>
          <cell r="E643" t="str">
            <v>PPR Female Thread Union (Metal &amp; Plastic) dn32x3/4" Green(INA) - LESSO</v>
          </cell>
          <cell r="F643">
            <v>1</v>
          </cell>
          <cell r="G643">
            <v>80940</v>
          </cell>
          <cell r="H643">
            <v>72919</v>
          </cell>
          <cell r="I643">
            <v>0.12</v>
          </cell>
          <cell r="J643">
            <v>82863</v>
          </cell>
          <cell r="K643">
            <v>0.1</v>
          </cell>
          <cell r="L643">
            <v>81022</v>
          </cell>
        </row>
        <row r="644">
          <cell r="C644">
            <v>8010073616</v>
          </cell>
          <cell r="D644" t="str">
            <v>内螺纹管接头(金属与塑胶)(PPR 配件)印尼绿色 dn63x2" 联塑</v>
          </cell>
          <cell r="E644" t="str">
            <v>PPR Female Thread Union (Metal × Plastic) dn63x2" Green(INA) - LESSO</v>
          </cell>
          <cell r="F644">
            <v>1</v>
          </cell>
          <cell r="G644">
            <v>209522</v>
          </cell>
          <cell r="H644">
            <v>188759</v>
          </cell>
          <cell r="I644">
            <v>0.12</v>
          </cell>
          <cell r="J644">
            <v>214499</v>
          </cell>
          <cell r="K644">
            <v>0.1</v>
          </cell>
          <cell r="L644">
            <v>209733</v>
          </cell>
        </row>
        <row r="645">
          <cell r="C645">
            <v>8010072272</v>
          </cell>
          <cell r="D645" t="str">
            <v>外螺纹管接头(金属与塑胶)(PPR 配件)印尼绿色 dn20x1/2" 联塑</v>
          </cell>
          <cell r="E645" t="str">
            <v>PPR Male Thread Union (Metal x Plastic) dn20x1/2" Green(INA) - LESSO</v>
          </cell>
          <cell r="F645">
            <v>1</v>
          </cell>
          <cell r="G645">
            <v>42066</v>
          </cell>
          <cell r="H645">
            <v>37898</v>
          </cell>
          <cell r="I645">
            <v>0.12</v>
          </cell>
          <cell r="J645">
            <v>43066</v>
          </cell>
          <cell r="K645">
            <v>0.1</v>
          </cell>
          <cell r="L645">
            <v>42109</v>
          </cell>
        </row>
        <row r="646">
          <cell r="C646">
            <v>8010072307</v>
          </cell>
          <cell r="D646" t="str">
            <v>外螺纹管接头(金属与塑胶)(PPR 配件)印尼绿色 dn25x1" 联塑</v>
          </cell>
          <cell r="E646" t="str">
            <v>PPR Male Thread Union (Metal x Plastic) dn25x1" Green(INA) - LESSO</v>
          </cell>
          <cell r="F646">
            <v>1</v>
          </cell>
          <cell r="G646">
            <v>79173</v>
          </cell>
          <cell r="H646">
            <v>71328</v>
          </cell>
          <cell r="I646">
            <v>0.12</v>
          </cell>
          <cell r="J646">
            <v>81055</v>
          </cell>
          <cell r="K646">
            <v>0.1</v>
          </cell>
          <cell r="L646">
            <v>79254</v>
          </cell>
        </row>
        <row r="647">
          <cell r="C647">
            <v>8010072273</v>
          </cell>
          <cell r="D647" t="str">
            <v>外螺纹管接头(金属与塑胶)(PPR 配件)印尼绿色 dn25x3/4" 联塑</v>
          </cell>
          <cell r="E647" t="str">
            <v>PPR Male Thread Union (Metal x Plastic) dn25x3/4" Green(INA) - LESSO</v>
          </cell>
          <cell r="F647">
            <v>1</v>
          </cell>
          <cell r="G647">
            <v>57741</v>
          </cell>
          <cell r="H647">
            <v>52019</v>
          </cell>
          <cell r="I647">
            <v>0.12</v>
          </cell>
          <cell r="J647">
            <v>59113</v>
          </cell>
          <cell r="K647">
            <v>0.1</v>
          </cell>
          <cell r="L647">
            <v>57799</v>
          </cell>
        </row>
        <row r="648">
          <cell r="C648">
            <v>8010072356</v>
          </cell>
          <cell r="D648" t="str">
            <v>外螺纹管接头(金属与塑胶)(PPR 配件)印尼绿色 dn32x1" 联塑</v>
          </cell>
          <cell r="E648" t="str">
            <v>PPR Male Thread Union (Metal x Plastic) dn32x1" Green(INA) - LESSO</v>
          </cell>
          <cell r="F648">
            <v>1</v>
          </cell>
          <cell r="G648">
            <v>93081</v>
          </cell>
          <cell r="H648">
            <v>83857</v>
          </cell>
          <cell r="I648">
            <v>0.12</v>
          </cell>
          <cell r="J648">
            <v>95293</v>
          </cell>
          <cell r="K648">
            <v>0.1</v>
          </cell>
          <cell r="L648">
            <v>93175</v>
          </cell>
        </row>
        <row r="649">
          <cell r="C649">
            <v>8010072308</v>
          </cell>
          <cell r="D649" t="str">
            <v>外螺纹管接头(金属与塑胶)(PPR 配件)印尼绿色 dn32x3/4" 联塑</v>
          </cell>
          <cell r="E649" t="str">
            <v>PPR Male Thread Union (Metal x Plastic) dn32x3/4" Green(INA) - LESSO</v>
          </cell>
          <cell r="F649">
            <v>1</v>
          </cell>
          <cell r="G649">
            <v>103398</v>
          </cell>
          <cell r="H649">
            <v>93152</v>
          </cell>
          <cell r="I649">
            <v>0.12</v>
          </cell>
          <cell r="J649">
            <v>105855</v>
          </cell>
          <cell r="K649">
            <v>0.1</v>
          </cell>
          <cell r="L649">
            <v>103503</v>
          </cell>
        </row>
        <row r="650">
          <cell r="C650">
            <v>8010072850</v>
          </cell>
          <cell r="D650" t="str">
            <v>外螺纹管接头(金属与塑胶)(PPR 配件)印尼绿色 dn40x1-1/4" 联塑</v>
          </cell>
          <cell r="E650" t="str">
            <v>PPR Male Thread Union (Metal × Plastic) dn40x1-1/4" Green(INA) - LESSO</v>
          </cell>
          <cell r="F650">
            <v>1</v>
          </cell>
          <cell r="G650">
            <v>131556</v>
          </cell>
          <cell r="H650">
            <v>118519</v>
          </cell>
          <cell r="I650">
            <v>0.12</v>
          </cell>
          <cell r="J650">
            <v>134681</v>
          </cell>
          <cell r="K650">
            <v>0.1</v>
          </cell>
          <cell r="L650">
            <v>131688</v>
          </cell>
        </row>
        <row r="651">
          <cell r="C651">
            <v>8010072852</v>
          </cell>
          <cell r="D651" t="str">
            <v>外螺纹管接头(金属与塑胶)(PPR 配件)印尼绿色 dn50x1-1/2" 联塑</v>
          </cell>
          <cell r="E651" t="str">
            <v>PPR Male Thread Union (Metal × Plastic) dn50x1-1/2" Green(INA) - LESSO</v>
          </cell>
          <cell r="F651">
            <v>1</v>
          </cell>
          <cell r="G651">
            <v>213579</v>
          </cell>
          <cell r="H651">
            <v>192414</v>
          </cell>
          <cell r="I651">
            <v>0.12</v>
          </cell>
          <cell r="J651">
            <v>218653</v>
          </cell>
          <cell r="K651">
            <v>0.1</v>
          </cell>
          <cell r="L651">
            <v>213794</v>
          </cell>
        </row>
        <row r="652">
          <cell r="C652">
            <v>8010072851</v>
          </cell>
          <cell r="D652" t="str">
            <v>外螺纹管接头(金属与塑胶)(PPR 配件)印尼绿色 dn63x2" 联塑</v>
          </cell>
          <cell r="E652" t="str">
            <v>PPR Male Thread Union (Metal × Plastic) dn63x2" Green(INA) - LESSO</v>
          </cell>
          <cell r="F652">
            <v>1</v>
          </cell>
          <cell r="G652">
            <v>462042</v>
          </cell>
          <cell r="H652">
            <v>416255</v>
          </cell>
          <cell r="I652">
            <v>0.12</v>
          </cell>
          <cell r="J652">
            <v>473018</v>
          </cell>
          <cell r="K652">
            <v>0.1</v>
          </cell>
          <cell r="L652">
            <v>462506</v>
          </cell>
        </row>
        <row r="653">
          <cell r="C653">
            <v>8010072837</v>
          </cell>
          <cell r="D653" t="str">
            <v>活接头Ⅰ(塑胶管与金属外螺纹连接)(PPR 配件)印尼绿色 dn50x1-1/2" 联塑</v>
          </cell>
          <cell r="E653" t="str">
            <v>PPR Flexible Joint I (SocxFipt with Metal) dn50x1-1/2" Green(INA) - LESSO</v>
          </cell>
          <cell r="F653">
            <v>1</v>
          </cell>
          <cell r="G653">
            <v>181089</v>
          </cell>
          <cell r="H653">
            <v>163144</v>
          </cell>
          <cell r="I653">
            <v>0.12</v>
          </cell>
          <cell r="J653">
            <v>185391</v>
          </cell>
          <cell r="K653">
            <v>0.1</v>
          </cell>
          <cell r="L653">
            <v>181272</v>
          </cell>
        </row>
        <row r="654">
          <cell r="C654">
            <v>8010072501</v>
          </cell>
          <cell r="D654" t="str">
            <v>活接头Ⅰ(塑胶管与金属外螺纹连接)(PPR 配件)印尼绿色 dn20x1/2" 联塑</v>
          </cell>
          <cell r="E654" t="str">
            <v>PPR Flexible Joint I (SocxFipt with Metal) dn20x1/2" Green(INA) - LESSO</v>
          </cell>
          <cell r="F654">
            <v>1</v>
          </cell>
          <cell r="G654">
            <v>27474</v>
          </cell>
          <cell r="H654">
            <v>24752</v>
          </cell>
          <cell r="I654">
            <v>0.12</v>
          </cell>
          <cell r="J654">
            <v>28128</v>
          </cell>
          <cell r="K654">
            <v>0.1</v>
          </cell>
          <cell r="L654">
            <v>27503</v>
          </cell>
        </row>
        <row r="655">
          <cell r="C655">
            <v>8010072502</v>
          </cell>
          <cell r="D655" t="str">
            <v>活接头Ⅰ(塑胶管与金属外螺纹连接)(PPR 配件)印尼绿色 dn20x3/4" 联塑</v>
          </cell>
          <cell r="E655" t="str">
            <v>PPR Flexible Joint I (SocxFipt with Metal) dn20x3/4" Green(INA) - LESSO</v>
          </cell>
          <cell r="F655">
            <v>1</v>
          </cell>
          <cell r="G655">
            <v>34599</v>
          </cell>
          <cell r="H655">
            <v>31171</v>
          </cell>
          <cell r="I655">
            <v>0.12</v>
          </cell>
          <cell r="J655">
            <v>35422</v>
          </cell>
          <cell r="K655">
            <v>0.1</v>
          </cell>
          <cell r="L655">
            <v>34635</v>
          </cell>
        </row>
        <row r="656">
          <cell r="C656">
            <v>8010072503</v>
          </cell>
          <cell r="D656" t="str">
            <v>活接头Ⅰ(塑胶管与金属外螺纹连接)(PPR 配件)印尼绿色 dn25x1/2" 联塑</v>
          </cell>
          <cell r="E656" t="str">
            <v>PPR Flexible Joint I (SocxFipt with Metal) dn25x1/2" Green(INA) - LESSO</v>
          </cell>
          <cell r="F656">
            <v>1</v>
          </cell>
          <cell r="G656">
            <v>27816</v>
          </cell>
          <cell r="H656">
            <v>25060</v>
          </cell>
          <cell r="I656">
            <v>0.12</v>
          </cell>
          <cell r="J656">
            <v>28478</v>
          </cell>
          <cell r="K656">
            <v>0.1</v>
          </cell>
          <cell r="L656">
            <v>27845</v>
          </cell>
        </row>
        <row r="657">
          <cell r="C657">
            <v>8010072504</v>
          </cell>
          <cell r="D657" t="str">
            <v>活接头Ⅰ(塑胶管与金属外螺纹连接)(PPR 配件)印尼绿色 dn25x3/4" 联塑</v>
          </cell>
          <cell r="E657" t="str">
            <v>PPR Flexible Joint I (SocxFipt with Metal) dn25x3/4" Green(INA) - LESSO</v>
          </cell>
          <cell r="F657">
            <v>1</v>
          </cell>
          <cell r="G657">
            <v>34941</v>
          </cell>
          <cell r="H657">
            <v>31479</v>
          </cell>
          <cell r="I657">
            <v>0.12</v>
          </cell>
          <cell r="J657">
            <v>35772</v>
          </cell>
          <cell r="K657">
            <v>0.1</v>
          </cell>
          <cell r="L657">
            <v>34977</v>
          </cell>
        </row>
        <row r="658">
          <cell r="C658">
            <v>8010072507</v>
          </cell>
          <cell r="D658" t="str">
            <v>活接头Ⅰ(塑胶管与金属外螺纹连接)(PPR 配件)印尼绿色 dn32x1" 联塑</v>
          </cell>
          <cell r="E658" t="str">
            <v>PPR Flexible Joint I (SocxFipt with Metal) dn32x1" Green(INA) - LESSO</v>
          </cell>
          <cell r="F658">
            <v>1</v>
          </cell>
          <cell r="G658">
            <v>56715</v>
          </cell>
          <cell r="H658">
            <v>51095</v>
          </cell>
          <cell r="I658">
            <v>0.12</v>
          </cell>
          <cell r="J658">
            <v>58063</v>
          </cell>
          <cell r="K658">
            <v>0.1</v>
          </cell>
          <cell r="L658">
            <v>56773</v>
          </cell>
        </row>
        <row r="659">
          <cell r="C659">
            <v>8010072505</v>
          </cell>
          <cell r="D659" t="str">
            <v>活接头Ⅰ(塑胶管与金属外螺纹连接)(PPR 配件)印尼绿色 dn32x1/2" 联塑</v>
          </cell>
          <cell r="E659" t="str">
            <v>PPR Flexible Joint I (SocxFipt with Metal) dn32x1/2" Green(INA) - LESSO</v>
          </cell>
          <cell r="F659">
            <v>1</v>
          </cell>
          <cell r="G659">
            <v>28158</v>
          </cell>
          <cell r="H659">
            <v>25368</v>
          </cell>
          <cell r="I659">
            <v>0.12</v>
          </cell>
          <cell r="J659">
            <v>28828</v>
          </cell>
          <cell r="K659">
            <v>0.1</v>
          </cell>
          <cell r="L659">
            <v>28187</v>
          </cell>
        </row>
        <row r="660">
          <cell r="C660">
            <v>8010072506</v>
          </cell>
          <cell r="D660" t="str">
            <v>活接头Ⅰ(塑胶管与金属外螺纹连接)(PPR 配件)印尼绿色 dn32x3/4" 联塑</v>
          </cell>
          <cell r="E660" t="str">
            <v>PPR Flexible Joint I (SocxFipt with Metal) dn32x3/4" Green(INA) - LESSO</v>
          </cell>
          <cell r="F660">
            <v>1</v>
          </cell>
          <cell r="G660">
            <v>35682</v>
          </cell>
          <cell r="H660">
            <v>32146</v>
          </cell>
          <cell r="I660">
            <v>0.12</v>
          </cell>
          <cell r="J660">
            <v>36530</v>
          </cell>
          <cell r="K660">
            <v>0.1</v>
          </cell>
          <cell r="L660">
            <v>35718</v>
          </cell>
        </row>
        <row r="661">
          <cell r="C661">
            <v>8010072831</v>
          </cell>
          <cell r="D661" t="str">
            <v>活接头Ⅰ(塑胶管与金属外螺纹连接)(PPR 配件)印尼绿色 dn40x1" 联塑</v>
          </cell>
          <cell r="E661" t="str">
            <v>PPR Flexible Joint I (SocxFipt with Metal) dn40x1" Green(INA) - LESSO</v>
          </cell>
          <cell r="F661">
            <v>1</v>
          </cell>
          <cell r="G661">
            <v>66690</v>
          </cell>
          <cell r="H661">
            <v>60082</v>
          </cell>
          <cell r="I661">
            <v>0.12</v>
          </cell>
          <cell r="J661">
            <v>68275</v>
          </cell>
          <cell r="K661">
            <v>0.1</v>
          </cell>
          <cell r="L661">
            <v>66758</v>
          </cell>
        </row>
        <row r="662">
          <cell r="C662">
            <v>8010072832</v>
          </cell>
          <cell r="D662" t="str">
            <v>活接头Ⅰ(塑胶管与金属外螺纹连接)(PPR 配件)印尼绿色 dn40x1-1/4" 联塑</v>
          </cell>
          <cell r="E662" t="str">
            <v>PPR Flexible Joint I (SocxFipt with Metal) dn40x1-1/4" Green(INA) - LESSO</v>
          </cell>
          <cell r="F662">
            <v>1</v>
          </cell>
          <cell r="G662">
            <v>112290</v>
          </cell>
          <cell r="H662">
            <v>101163</v>
          </cell>
          <cell r="I662">
            <v>0.12</v>
          </cell>
          <cell r="J662">
            <v>114958</v>
          </cell>
          <cell r="K662">
            <v>0.1</v>
          </cell>
          <cell r="L662">
            <v>112404</v>
          </cell>
        </row>
        <row r="663">
          <cell r="C663">
            <v>8010072823</v>
          </cell>
          <cell r="D663" t="str">
            <v>活接头Ⅰ(塑胶管与金属外螺纹连接)(PPR 配件)印尼绿色 dn40x3/4" 联塑</v>
          </cell>
          <cell r="E663" t="str">
            <v>PPR Flexible Joint I (SocxFipt with Metal) dn40x3/4" Green(INA) - LESSO</v>
          </cell>
          <cell r="F663">
            <v>1</v>
          </cell>
          <cell r="G663">
            <v>42465</v>
          </cell>
          <cell r="H663">
            <v>38257</v>
          </cell>
          <cell r="I663">
            <v>0.12</v>
          </cell>
          <cell r="J663">
            <v>43474</v>
          </cell>
          <cell r="K663">
            <v>0.1</v>
          </cell>
          <cell r="L663">
            <v>42508</v>
          </cell>
        </row>
        <row r="664">
          <cell r="C664">
            <v>8010072824</v>
          </cell>
          <cell r="D664" t="str">
            <v>活接头Ⅰ(塑胶管与金属外螺纹连接)(PPR 配件)印尼绿色 dn50x1" 联塑</v>
          </cell>
          <cell r="E664" t="str">
            <v>PPR Flexible Joint I (SocxFipt with Metal) dn50x1" Green(INA) - LESSO</v>
          </cell>
          <cell r="F664">
            <v>1</v>
          </cell>
          <cell r="G664">
            <v>69198</v>
          </cell>
          <cell r="H664">
            <v>62341</v>
          </cell>
          <cell r="I664">
            <v>0.12</v>
          </cell>
          <cell r="J664">
            <v>70843</v>
          </cell>
          <cell r="K664">
            <v>0.1</v>
          </cell>
          <cell r="L664">
            <v>69268</v>
          </cell>
        </row>
        <row r="665">
          <cell r="C665">
            <v>8010072825</v>
          </cell>
          <cell r="D665" t="str">
            <v>活接头Ⅰ(塑胶管与金属外螺纹连接)(PPR 配件)印尼绿色 dn50x1-1/4" 联塑</v>
          </cell>
          <cell r="E665" t="str">
            <v>PPR Flexible Joint I (SocxFipt with Metal) dn50x1-1/4" Green(INA) - LESSO</v>
          </cell>
          <cell r="F665">
            <v>1</v>
          </cell>
          <cell r="G665">
            <v>115197</v>
          </cell>
          <cell r="H665">
            <v>103782</v>
          </cell>
          <cell r="I665">
            <v>0.12</v>
          </cell>
          <cell r="J665">
            <v>117935</v>
          </cell>
          <cell r="K665">
            <v>0.1</v>
          </cell>
          <cell r="L665">
            <v>115314</v>
          </cell>
        </row>
        <row r="666">
          <cell r="C666">
            <v>8010071338</v>
          </cell>
          <cell r="D666" t="str">
            <v>活接头Ⅱ(塑胶管与塑胶管连接)(PPR 配件)印尼绿色 dn20 (1/2") 联塑</v>
          </cell>
          <cell r="E666" t="str">
            <v>PPR Union II (Plastic-to-Plastic | Soc × Soc) dn20 (1/2") Green(INA) - LESSO</v>
          </cell>
          <cell r="F666">
            <v>1</v>
          </cell>
          <cell r="G666">
            <v>2401</v>
          </cell>
          <cell r="H666">
            <v>2164</v>
          </cell>
          <cell r="I666">
            <v>0.12</v>
          </cell>
          <cell r="J666">
            <v>2460</v>
          </cell>
          <cell r="K666">
            <v>0.1</v>
          </cell>
          <cell r="L666">
            <v>2405</v>
          </cell>
        </row>
        <row r="667">
          <cell r="C667">
            <v>8010071339</v>
          </cell>
          <cell r="D667" t="str">
            <v>活接头Ⅱ(塑胶管与塑胶管连接)(PPR 配件)印尼绿色 dn25 (3/4") 联塑</v>
          </cell>
          <cell r="E667" t="str">
            <v>PPR Union II (Plastic-to-Plastic | Soc × Soc) dn25 (3/4") Green(INA) - LESSO</v>
          </cell>
          <cell r="F667">
            <v>1</v>
          </cell>
          <cell r="G667">
            <v>3283</v>
          </cell>
          <cell r="H667">
            <v>2958</v>
          </cell>
          <cell r="I667">
            <v>0.12</v>
          </cell>
          <cell r="J667">
            <v>3362</v>
          </cell>
          <cell r="K667">
            <v>0.1</v>
          </cell>
          <cell r="L667">
            <v>3287</v>
          </cell>
        </row>
        <row r="668">
          <cell r="C668">
            <v>8010071340</v>
          </cell>
          <cell r="D668" t="str">
            <v>活接头Ⅱ(塑胶管与塑胶管连接)(PPR 配件)印尼绿色 dn32 (1") 联塑</v>
          </cell>
          <cell r="E668" t="str">
            <v>PPR Union II (Plastic-to-Plastic | Soc × Soc) dn32 (1") Green(INA) - LESSO</v>
          </cell>
          <cell r="F668">
            <v>1</v>
          </cell>
          <cell r="G668">
            <v>6223</v>
          </cell>
          <cell r="H668">
            <v>5607</v>
          </cell>
          <cell r="I668">
            <v>0.12</v>
          </cell>
          <cell r="J668">
            <v>6372</v>
          </cell>
          <cell r="K668">
            <v>0.1</v>
          </cell>
          <cell r="L668">
            <v>6230</v>
          </cell>
        </row>
        <row r="669">
          <cell r="C669">
            <v>8010072743</v>
          </cell>
          <cell r="D669" t="str">
            <v>内螺纹弯头Ⅰ型(PPR 配件)印尼绿色 dn16x1/2" 联塑</v>
          </cell>
          <cell r="E669" t="str">
            <v>PPR Female Thread Elbow I dn16x1/2" Green(INA) - LESSO</v>
          </cell>
          <cell r="F669">
            <v>1</v>
          </cell>
          <cell r="G669">
            <v>36508</v>
          </cell>
          <cell r="H669">
            <v>32891</v>
          </cell>
          <cell r="I669">
            <v>0.12</v>
          </cell>
          <cell r="J669">
            <v>37377</v>
          </cell>
          <cell r="K669">
            <v>0.1</v>
          </cell>
          <cell r="L669">
            <v>36546</v>
          </cell>
        </row>
        <row r="670">
          <cell r="C670">
            <v>8010071733</v>
          </cell>
          <cell r="D670" t="str">
            <v>内螺纹弯头Ⅰ型(PPR 配件)印尼绿色 dn20x1/2" 联塑</v>
          </cell>
          <cell r="E670" t="str">
            <v>PPR Female Thread Elbow I dn20x1/2" Green(INA) - LESSO</v>
          </cell>
          <cell r="F670">
            <v>1</v>
          </cell>
          <cell r="G670">
            <v>8299</v>
          </cell>
          <cell r="H670">
            <v>7477</v>
          </cell>
          <cell r="I670">
            <v>0.12</v>
          </cell>
          <cell r="J670">
            <v>8497</v>
          </cell>
          <cell r="K670">
            <v>0.1</v>
          </cell>
          <cell r="L670">
            <v>8308</v>
          </cell>
        </row>
        <row r="671">
          <cell r="C671">
            <v>8010072354</v>
          </cell>
          <cell r="D671" t="str">
            <v>内螺纹弯头Ⅰ型(PPR 配件)印尼绿色 dn20x3/4" 联塑</v>
          </cell>
          <cell r="E671" t="str">
            <v>PPR Female Thread Elbow I dn20x3/4" Green(INA) - LESSO</v>
          </cell>
          <cell r="F671">
            <v>1</v>
          </cell>
          <cell r="G671">
            <v>13566</v>
          </cell>
          <cell r="H671">
            <v>12222</v>
          </cell>
          <cell r="I671">
            <v>0.12</v>
          </cell>
          <cell r="J671">
            <v>13889</v>
          </cell>
          <cell r="K671">
            <v>0.1</v>
          </cell>
          <cell r="L671">
            <v>13580</v>
          </cell>
        </row>
        <row r="672">
          <cell r="C672">
            <v>8010071394</v>
          </cell>
          <cell r="D672" t="str">
            <v>内螺纹弯头Ⅰ型(PPR 配件)印尼绿色 dn25x1/2" 联塑</v>
          </cell>
          <cell r="E672" t="str">
            <v>PPR Female Thread Elbow I dn25x1/2" Green(INA) - LESSO</v>
          </cell>
          <cell r="F672">
            <v>1</v>
          </cell>
          <cell r="G672">
            <v>10089</v>
          </cell>
          <cell r="H672">
            <v>9090</v>
          </cell>
          <cell r="I672">
            <v>0.12</v>
          </cell>
          <cell r="J672">
            <v>10330</v>
          </cell>
          <cell r="K672">
            <v>0.1</v>
          </cell>
          <cell r="L672">
            <v>10100</v>
          </cell>
        </row>
        <row r="673">
          <cell r="C673">
            <v>8010071395</v>
          </cell>
          <cell r="D673" t="str">
            <v>内螺纹弯头Ⅰ型(PPR 配件)印尼绿色 dn25x3/4" 联塑</v>
          </cell>
          <cell r="E673" t="str">
            <v>PPR Female Thread Elbow I dn25x3/4" Green(INA) - LESSO</v>
          </cell>
          <cell r="F673">
            <v>1</v>
          </cell>
          <cell r="G673">
            <v>14079</v>
          </cell>
          <cell r="H673">
            <v>12684</v>
          </cell>
          <cell r="I673">
            <v>0.12</v>
          </cell>
          <cell r="J673">
            <v>14414</v>
          </cell>
          <cell r="K673">
            <v>0.1</v>
          </cell>
          <cell r="L673">
            <v>14094</v>
          </cell>
        </row>
        <row r="674">
          <cell r="C674">
            <v>8010072485</v>
          </cell>
          <cell r="D674" t="str">
            <v>内螺纹弯头Ⅰ型(PPR 配件)印尼绿色 dn32x1/2" 联塑</v>
          </cell>
          <cell r="E674" t="str">
            <v>PPR Female Thread Elbow I dn32x1/2" Green(INA) - LESSO</v>
          </cell>
          <cell r="F674">
            <v>1</v>
          </cell>
          <cell r="G674">
            <v>10602</v>
          </cell>
          <cell r="H674">
            <v>9552</v>
          </cell>
          <cell r="I674">
            <v>0.12</v>
          </cell>
          <cell r="J674">
            <v>10855</v>
          </cell>
          <cell r="K674">
            <v>0.1</v>
          </cell>
          <cell r="L674">
            <v>10614</v>
          </cell>
        </row>
        <row r="675">
          <cell r="C675">
            <v>8010071734</v>
          </cell>
          <cell r="D675" t="str">
            <v>内螺纹弯头Ⅰ型(PPR 配件)印尼绿色 dn32x3/4" 联塑</v>
          </cell>
          <cell r="E675" t="str">
            <v>PPR Female Thread Elbow I dn32x3/4" Green(INA) - LESSO</v>
          </cell>
          <cell r="F675">
            <v>1</v>
          </cell>
          <cell r="G675">
            <v>13623</v>
          </cell>
          <cell r="H675">
            <v>12273</v>
          </cell>
          <cell r="I675">
            <v>0.12</v>
          </cell>
          <cell r="J675">
            <v>13947</v>
          </cell>
          <cell r="K675">
            <v>0.1</v>
          </cell>
          <cell r="L675">
            <v>13637</v>
          </cell>
        </row>
        <row r="676">
          <cell r="C676">
            <v>8010070552</v>
          </cell>
          <cell r="D676" t="str">
            <v>内螺纹弯头Ⅱ型(PPR 配件)绿色 dn20x1/2" 联塑</v>
          </cell>
          <cell r="E676" t="str">
            <v>PPR Female Thread Elbow II dn20x1/2" Green - LESSO</v>
          </cell>
          <cell r="F676">
            <v>1</v>
          </cell>
          <cell r="G676">
            <v>60648</v>
          </cell>
          <cell r="H676">
            <v>54638</v>
          </cell>
          <cell r="I676">
            <v>0.12</v>
          </cell>
          <cell r="J676">
            <v>62089</v>
          </cell>
          <cell r="K676">
            <v>0.1</v>
          </cell>
          <cell r="L676">
            <v>60709</v>
          </cell>
        </row>
        <row r="677">
          <cell r="C677">
            <v>8010071288</v>
          </cell>
          <cell r="D677" t="str">
            <v>内螺纹弯头Ⅱ型(PPR 配件)绿色 dn40x1-1/4" 联塑</v>
          </cell>
          <cell r="E677" t="str">
            <v>PPR Female Thread Elbow II dn40x1-1/4" Green - LESSO</v>
          </cell>
          <cell r="F677">
            <v>1</v>
          </cell>
          <cell r="G677">
            <v>273828</v>
          </cell>
          <cell r="H677">
            <v>246692</v>
          </cell>
          <cell r="I677">
            <v>0.12</v>
          </cell>
          <cell r="J677">
            <v>280332</v>
          </cell>
          <cell r="K677">
            <v>0.1</v>
          </cell>
          <cell r="L677">
            <v>274103</v>
          </cell>
        </row>
        <row r="678">
          <cell r="C678">
            <v>8010071230</v>
          </cell>
          <cell r="D678" t="str">
            <v>内螺纹弯头Ⅱ型(PPR 配件)绿色 dn50x1-1/2" 联塑</v>
          </cell>
          <cell r="E678" t="str">
            <v>PPR Female Thread Elbow II dn50x1-1/2" Green - LESSO</v>
          </cell>
          <cell r="F678">
            <v>1</v>
          </cell>
          <cell r="G678">
            <v>273600</v>
          </cell>
          <cell r="H678">
            <v>246487</v>
          </cell>
          <cell r="I678">
            <v>0.12</v>
          </cell>
          <cell r="J678">
            <v>280099</v>
          </cell>
          <cell r="K678">
            <v>0.1</v>
          </cell>
          <cell r="L678">
            <v>273875</v>
          </cell>
        </row>
        <row r="679">
          <cell r="C679">
            <v>8010072744</v>
          </cell>
          <cell r="D679" t="str">
            <v>内螺纹弯头Ⅱ型(PPR 配件)印尼绿色 dn20x1/2" 联塑</v>
          </cell>
          <cell r="E679" t="str">
            <v>PPR Female Thread Elbow II dn20x1/2" Green(INA) - LESSO</v>
          </cell>
          <cell r="F679">
            <v>1</v>
          </cell>
          <cell r="G679">
            <v>28158</v>
          </cell>
          <cell r="H679">
            <v>25368</v>
          </cell>
          <cell r="I679">
            <v>0.12</v>
          </cell>
          <cell r="J679">
            <v>28828</v>
          </cell>
          <cell r="K679">
            <v>0.1</v>
          </cell>
          <cell r="L679">
            <v>28187</v>
          </cell>
        </row>
        <row r="680">
          <cell r="C680">
            <v>8010071396</v>
          </cell>
          <cell r="D680" t="str">
            <v>内螺纹弯头Ⅱ型(PPR 配件)印尼绿色 dn32x1" 联塑</v>
          </cell>
          <cell r="E680" t="str">
            <v>PPR Female Thread Elbow II dn32x1" Green(INA) - LESSO</v>
          </cell>
          <cell r="F680">
            <v>1</v>
          </cell>
          <cell r="G680">
            <v>45999</v>
          </cell>
          <cell r="H680">
            <v>41441</v>
          </cell>
          <cell r="I680">
            <v>0.12</v>
          </cell>
          <cell r="J680">
            <v>47093</v>
          </cell>
          <cell r="K680">
            <v>0.1</v>
          </cell>
          <cell r="L680">
            <v>46046</v>
          </cell>
        </row>
        <row r="681">
          <cell r="C681">
            <v>8010072775</v>
          </cell>
          <cell r="D681" t="str">
            <v>内螺纹弯头Ⅱ型(PPR 配件)印尼绿色 dn40x1-1/4" 联塑</v>
          </cell>
          <cell r="E681" t="str">
            <v>PPR Female Thread Elbow II dn40x1-1/4" Green(INA) - LESSO</v>
          </cell>
          <cell r="F681">
            <v>1</v>
          </cell>
          <cell r="G681">
            <v>79857</v>
          </cell>
          <cell r="H681">
            <v>71944</v>
          </cell>
          <cell r="I681">
            <v>0.12</v>
          </cell>
          <cell r="J681">
            <v>81755</v>
          </cell>
          <cell r="K681">
            <v>0.1</v>
          </cell>
          <cell r="L681">
            <v>79938</v>
          </cell>
        </row>
        <row r="682">
          <cell r="C682">
            <v>8010072767</v>
          </cell>
          <cell r="D682" t="str">
            <v>内螺纹弯头Ⅱ型(PPR 配件)印尼绿色 dn50x1-1/2" 联塑</v>
          </cell>
          <cell r="E682" t="str">
            <v>PPR Female Thread Elbow II dn50x1-1/2" Green(INA) - LESSO</v>
          </cell>
          <cell r="F682">
            <v>1</v>
          </cell>
          <cell r="G682">
            <v>101631</v>
          </cell>
          <cell r="H682">
            <v>91560</v>
          </cell>
          <cell r="I682">
            <v>0.12</v>
          </cell>
          <cell r="J682">
            <v>104046</v>
          </cell>
          <cell r="K682">
            <v>0.1</v>
          </cell>
          <cell r="L682">
            <v>101734</v>
          </cell>
        </row>
        <row r="683">
          <cell r="C683">
            <v>8010072776</v>
          </cell>
          <cell r="D683" t="str">
            <v>内螺纹弯头Ⅱ型(PPR 配件)印尼绿色 dn63x2" 联塑</v>
          </cell>
          <cell r="E683" t="str">
            <v>PPR Female Thread Elbow II dn63x2" Green(INA) - LESSO</v>
          </cell>
          <cell r="F683">
            <v>1</v>
          </cell>
          <cell r="G683">
            <v>156180</v>
          </cell>
          <cell r="H683">
            <v>140703</v>
          </cell>
          <cell r="I683">
            <v>0.12</v>
          </cell>
          <cell r="J683">
            <v>159890</v>
          </cell>
          <cell r="K683">
            <v>0.1</v>
          </cell>
          <cell r="L683">
            <v>156337</v>
          </cell>
        </row>
        <row r="684">
          <cell r="C684">
            <v>8010071397</v>
          </cell>
          <cell r="D684" t="str">
            <v>外螺纹弯头Ⅰ型(PPR 配件)印尼绿色 dn20x1/2" 联塑</v>
          </cell>
          <cell r="E684" t="str">
            <v>PPR Male Thread Elbow I dn20x1/2" Green(INA) - LESSO</v>
          </cell>
          <cell r="F684">
            <v>1</v>
          </cell>
          <cell r="G684">
            <v>14421</v>
          </cell>
          <cell r="H684">
            <v>12992</v>
          </cell>
          <cell r="I684">
            <v>0.12</v>
          </cell>
          <cell r="J684">
            <v>14764</v>
          </cell>
          <cell r="K684">
            <v>0.1</v>
          </cell>
          <cell r="L684">
            <v>14436</v>
          </cell>
        </row>
        <row r="685">
          <cell r="C685">
            <v>8010072352</v>
          </cell>
          <cell r="D685" t="str">
            <v>外螺纹弯头Ⅰ型(PPR 配件)印尼绿色 dn20x3/4" 联塑</v>
          </cell>
          <cell r="E685" t="str">
            <v>PPR Male Thread Elbow I dn20x3/4" Green(INA) - LESSO</v>
          </cell>
          <cell r="F685">
            <v>1</v>
          </cell>
          <cell r="G685">
            <v>17613</v>
          </cell>
          <cell r="H685">
            <v>15868</v>
          </cell>
          <cell r="I685">
            <v>0.12</v>
          </cell>
          <cell r="J685">
            <v>18032</v>
          </cell>
          <cell r="K685">
            <v>0.1</v>
          </cell>
          <cell r="L685">
            <v>17632</v>
          </cell>
        </row>
        <row r="686">
          <cell r="C686">
            <v>8010071398</v>
          </cell>
          <cell r="D686" t="str">
            <v>外螺纹弯头Ⅰ型(PPR 配件)印尼绿色 dn25x1/2" 联塑</v>
          </cell>
          <cell r="E686" t="str">
            <v>PPR Male Thread Elbow I dn25x1/2" Green(INA) - LESSO</v>
          </cell>
          <cell r="F686">
            <v>1</v>
          </cell>
          <cell r="G686">
            <v>14820</v>
          </cell>
          <cell r="H686">
            <v>13352</v>
          </cell>
          <cell r="I686">
            <v>0.12</v>
          </cell>
          <cell r="J686">
            <v>15173</v>
          </cell>
          <cell r="K686">
            <v>0.1</v>
          </cell>
          <cell r="L686">
            <v>14836</v>
          </cell>
        </row>
        <row r="687">
          <cell r="C687">
            <v>8010071399</v>
          </cell>
          <cell r="D687" t="str">
            <v>外螺纹弯头Ⅰ型(PPR 配件)印尼绿色 dn25x3/4" 联塑</v>
          </cell>
          <cell r="E687" t="str">
            <v>PPR Male Thread Elbow I dn25x3/4" Green(INA) - LESSO</v>
          </cell>
          <cell r="F687">
            <v>1</v>
          </cell>
          <cell r="G687">
            <v>18183</v>
          </cell>
          <cell r="H687">
            <v>16382</v>
          </cell>
          <cell r="I687">
            <v>0.12</v>
          </cell>
          <cell r="J687">
            <v>18616</v>
          </cell>
          <cell r="K687">
            <v>0.1</v>
          </cell>
          <cell r="L687">
            <v>18203</v>
          </cell>
        </row>
        <row r="688">
          <cell r="C688">
            <v>8010072483</v>
          </cell>
          <cell r="D688" t="str">
            <v>外螺纹弯头Ⅰ型(PPR 配件)印尼绿色 dn32x1/2" 联塑</v>
          </cell>
          <cell r="E688" t="str">
            <v>PPR Male Thread Elbow I dn32x1/2" Green(INA) - LESSO</v>
          </cell>
          <cell r="F688">
            <v>1</v>
          </cell>
          <cell r="G688">
            <v>15618</v>
          </cell>
          <cell r="H688">
            <v>14071</v>
          </cell>
          <cell r="I688">
            <v>0.12</v>
          </cell>
          <cell r="J688">
            <v>15990</v>
          </cell>
          <cell r="K688">
            <v>0.1</v>
          </cell>
          <cell r="L688">
            <v>15635</v>
          </cell>
        </row>
        <row r="689">
          <cell r="C689">
            <v>8010071735</v>
          </cell>
          <cell r="D689" t="str">
            <v>外螺纹弯头Ⅰ型(PPR 配件)印尼绿色 dn32x3/4" 联塑</v>
          </cell>
          <cell r="E689" t="str">
            <v>PPR Male Thread Elbow I dn32x3/4" Green(INA) - LESSO</v>
          </cell>
          <cell r="F689">
            <v>1</v>
          </cell>
          <cell r="G689">
            <v>19266</v>
          </cell>
          <cell r="H689">
            <v>17357</v>
          </cell>
          <cell r="I689">
            <v>0.12</v>
          </cell>
          <cell r="J689">
            <v>19724</v>
          </cell>
          <cell r="K689">
            <v>0.1</v>
          </cell>
          <cell r="L689">
            <v>19286</v>
          </cell>
        </row>
        <row r="690">
          <cell r="C690">
            <v>8010071400</v>
          </cell>
          <cell r="D690" t="str">
            <v>外螺纹弯头Ⅱ型(PPR 配件)印尼绿色 dn32x1" 联塑</v>
          </cell>
          <cell r="E690" t="str">
            <v>PPR Male Thread Elbow II dn32x1" Green(INA) - LESSO</v>
          </cell>
          <cell r="F690">
            <v>1</v>
          </cell>
          <cell r="G690">
            <v>62757</v>
          </cell>
          <cell r="H690">
            <v>56538</v>
          </cell>
          <cell r="I690">
            <v>0.12</v>
          </cell>
          <cell r="J690">
            <v>64248</v>
          </cell>
          <cell r="K690">
            <v>0.1</v>
          </cell>
          <cell r="L690">
            <v>62820</v>
          </cell>
        </row>
        <row r="691">
          <cell r="C691">
            <v>8010071286</v>
          </cell>
          <cell r="D691" t="str">
            <v>外螺纹弯头Ⅱ型(PPR 配件)绿色 dn40x1-1/4" 联塑</v>
          </cell>
          <cell r="E691" t="str">
            <v>PPR Male Thread Elbow II dn40x1-1/4" Green - LESSO</v>
          </cell>
          <cell r="F691">
            <v>1</v>
          </cell>
          <cell r="G691">
            <v>415701</v>
          </cell>
          <cell r="H691">
            <v>374506</v>
          </cell>
          <cell r="I691">
            <v>0.12</v>
          </cell>
          <cell r="J691">
            <v>425575</v>
          </cell>
          <cell r="K691">
            <v>0.1</v>
          </cell>
          <cell r="L691">
            <v>416118</v>
          </cell>
        </row>
        <row r="692">
          <cell r="C692">
            <v>8010072768</v>
          </cell>
          <cell r="D692" t="str">
            <v>外螺纹弯头Ⅱ型(PPR 配件)印尼绿色 dn40x1-1/4" 联塑</v>
          </cell>
          <cell r="E692" t="str">
            <v>PPR Male Thread Elbow II dn40x1-1/4" Green(INA) - LESSO</v>
          </cell>
          <cell r="F692">
            <v>1</v>
          </cell>
          <cell r="G692">
            <v>131556</v>
          </cell>
          <cell r="H692">
            <v>118519</v>
          </cell>
          <cell r="I692">
            <v>0.12</v>
          </cell>
          <cell r="J692">
            <v>134681</v>
          </cell>
          <cell r="K692">
            <v>0.1</v>
          </cell>
          <cell r="L692">
            <v>131688</v>
          </cell>
        </row>
        <row r="693">
          <cell r="C693">
            <v>8010072781</v>
          </cell>
          <cell r="D693" t="str">
            <v>外螺纹弯头Ⅱ型(PPR 配件)印尼绿色 dn50x1-1/2" 联塑</v>
          </cell>
          <cell r="E693" t="str">
            <v>PPR Male Thread Elbow II dn50x1-1/2" Green(INA) - LESSO</v>
          </cell>
          <cell r="F693">
            <v>1</v>
          </cell>
          <cell r="G693">
            <v>163305</v>
          </cell>
          <cell r="H693">
            <v>147122</v>
          </cell>
          <cell r="I693">
            <v>0.12</v>
          </cell>
          <cell r="J693">
            <v>167185</v>
          </cell>
          <cell r="K693">
            <v>0.1</v>
          </cell>
          <cell r="L693">
            <v>163469</v>
          </cell>
        </row>
        <row r="694">
          <cell r="C694">
            <v>8010072769</v>
          </cell>
          <cell r="D694" t="str">
            <v>外螺纹弯头Ⅱ型(PPR 配件)印尼绿色 dn63x2" 联塑</v>
          </cell>
          <cell r="E694" t="str">
            <v>PPR Male Thread Elbow II dn63x2" Green(INA) - LESSO</v>
          </cell>
          <cell r="F694">
            <v>1</v>
          </cell>
          <cell r="G694">
            <v>235980</v>
          </cell>
          <cell r="H694">
            <v>212595</v>
          </cell>
          <cell r="I694">
            <v>0.12</v>
          </cell>
          <cell r="J694">
            <v>241586</v>
          </cell>
          <cell r="K694">
            <v>0.1</v>
          </cell>
          <cell r="L694">
            <v>236217</v>
          </cell>
        </row>
        <row r="695">
          <cell r="C695">
            <v>8010071874</v>
          </cell>
          <cell r="D695" t="str">
            <v>外螺纹弯头Ⅱ型(PPR 配件)绿色 dn63x2" 联塑</v>
          </cell>
          <cell r="E695" t="str">
            <v>PPR Male Thread Elbow II dn63x2" Green - LESSO</v>
          </cell>
          <cell r="F695">
            <v>1</v>
          </cell>
          <cell r="G695">
            <v>627285</v>
          </cell>
          <cell r="H695">
            <v>565122</v>
          </cell>
          <cell r="I695">
            <v>0.12</v>
          </cell>
          <cell r="J695">
            <v>642185</v>
          </cell>
          <cell r="K695">
            <v>0.1</v>
          </cell>
          <cell r="L695">
            <v>627914</v>
          </cell>
        </row>
        <row r="696">
          <cell r="C696">
            <v>8010072770</v>
          </cell>
          <cell r="D696" t="str">
            <v>外螺纹弯头Ⅱ型(PPR 配件)印尼绿色 dn75x2-1/2" 联塑</v>
          </cell>
          <cell r="E696" t="str">
            <v>PPR Male Thread Elbow II dn75x2-1/2" Green(INA) - LESSO</v>
          </cell>
          <cell r="F696">
            <v>1</v>
          </cell>
          <cell r="G696">
            <v>494076</v>
          </cell>
          <cell r="H696">
            <v>445114</v>
          </cell>
          <cell r="I696">
            <v>0.12</v>
          </cell>
          <cell r="J696">
            <v>505812</v>
          </cell>
          <cell r="K696">
            <v>0.1</v>
          </cell>
          <cell r="L696">
            <v>494572</v>
          </cell>
        </row>
        <row r="697">
          <cell r="C697">
            <v>8010072508</v>
          </cell>
          <cell r="D697" t="str">
            <v>活接弯头(塑胶管与金属外螺纹连接)(PPR 配件)印尼绿色 dn20x1/2" 联塑</v>
          </cell>
          <cell r="E697" t="str">
            <v>PPR Flexible Joint Elbow (SocxFipt with Metal) dn20x1/2" Green(INA) - LESSO</v>
          </cell>
          <cell r="F697">
            <v>1</v>
          </cell>
          <cell r="G697">
            <v>31749</v>
          </cell>
          <cell r="H697">
            <v>28603</v>
          </cell>
          <cell r="I697">
            <v>0.12</v>
          </cell>
          <cell r="J697">
            <v>32504</v>
          </cell>
          <cell r="K697">
            <v>0.1</v>
          </cell>
          <cell r="L697">
            <v>31782</v>
          </cell>
        </row>
        <row r="698">
          <cell r="C698">
            <v>8010072509</v>
          </cell>
          <cell r="D698" t="str">
            <v>活接弯头(塑胶管与金属外螺纹连接)(PPR 配件)印尼绿色 dn20x3/4" 联塑</v>
          </cell>
          <cell r="E698" t="str">
            <v>PPR Flexible Joint Elbow (SocxFipt with Metal) dn20x3/4" Green(INA) - LESSO</v>
          </cell>
          <cell r="F698">
            <v>1</v>
          </cell>
          <cell r="G698">
            <v>40641</v>
          </cell>
          <cell r="H698">
            <v>36614</v>
          </cell>
          <cell r="I698">
            <v>0.12</v>
          </cell>
          <cell r="J698">
            <v>41607</v>
          </cell>
          <cell r="K698">
            <v>0.1</v>
          </cell>
          <cell r="L698">
            <v>40683</v>
          </cell>
        </row>
        <row r="699">
          <cell r="C699">
            <v>8010072510</v>
          </cell>
          <cell r="D699" t="str">
            <v>活接弯头(塑胶管与金属外螺纹连接)(PPR 配件)印尼绿色 dn25x1/2" 联塑</v>
          </cell>
          <cell r="E699" t="str">
            <v>PPR Flexible Joint Elbow (SocxFipt with Metal) dn25x1/2" Green(INA) - LESSO</v>
          </cell>
          <cell r="F699">
            <v>1</v>
          </cell>
          <cell r="G699">
            <v>32433</v>
          </cell>
          <cell r="H699">
            <v>29219</v>
          </cell>
          <cell r="I699">
            <v>0.12</v>
          </cell>
          <cell r="J699">
            <v>33204</v>
          </cell>
          <cell r="K699">
            <v>0.1</v>
          </cell>
          <cell r="L699">
            <v>32466</v>
          </cell>
        </row>
        <row r="700">
          <cell r="C700">
            <v>8010072511</v>
          </cell>
          <cell r="D700" t="str">
            <v>活接弯头(塑胶管与金属外螺纹连接)(PPR 配件)印尼绿色 dn25x3/4" 联塑</v>
          </cell>
          <cell r="E700" t="str">
            <v>PPR Flexible Joint Elbow (SocxFipt with Metal) dn25x3/4" Green(INA) - LESSO</v>
          </cell>
          <cell r="F700">
            <v>1</v>
          </cell>
          <cell r="G700">
            <v>41382</v>
          </cell>
          <cell r="H700">
            <v>37282</v>
          </cell>
          <cell r="I700">
            <v>0.12</v>
          </cell>
          <cell r="J700">
            <v>42366</v>
          </cell>
          <cell r="K700">
            <v>0.1</v>
          </cell>
          <cell r="L700">
            <v>41425</v>
          </cell>
        </row>
        <row r="701">
          <cell r="C701">
            <v>8010072512</v>
          </cell>
          <cell r="D701" t="str">
            <v>活接弯头(塑胶管与金属外螺纹连接)(PPR 配件)印尼绿色 dn32x1/2" 联塑</v>
          </cell>
          <cell r="E701" t="str">
            <v>PPR Flexible Joint Elbow (SocxFipt with Metal) dn32x1/2" Green(INA) - LESSO</v>
          </cell>
          <cell r="F701">
            <v>1</v>
          </cell>
          <cell r="G701">
            <v>33174</v>
          </cell>
          <cell r="H701">
            <v>29887</v>
          </cell>
          <cell r="I701">
            <v>0.12</v>
          </cell>
          <cell r="J701">
            <v>33963</v>
          </cell>
          <cell r="K701">
            <v>0.1</v>
          </cell>
          <cell r="L701">
            <v>33208</v>
          </cell>
        </row>
        <row r="702">
          <cell r="C702">
            <v>8010072513</v>
          </cell>
          <cell r="D702" t="str">
            <v>活接弯头(塑胶管与金属外螺纹连接)(PPR 配件)印尼绿色 dn32x3/4" 联塑</v>
          </cell>
          <cell r="E702" t="str">
            <v>PPR Flexible Joint Elbow (SocxFipt with Metal) dn32x3/4" Green(INA) - LESSO</v>
          </cell>
          <cell r="F702">
            <v>1</v>
          </cell>
          <cell r="G702">
            <v>42465</v>
          </cell>
          <cell r="H702">
            <v>38257</v>
          </cell>
          <cell r="I702">
            <v>0.12</v>
          </cell>
          <cell r="J702">
            <v>43474</v>
          </cell>
          <cell r="K702">
            <v>0.1</v>
          </cell>
          <cell r="L702">
            <v>42508</v>
          </cell>
        </row>
        <row r="703">
          <cell r="C703">
            <v>8010072838</v>
          </cell>
          <cell r="D703" t="str">
            <v>活接弯头(塑胶管与金属外螺纹连接)(PPR 配件)印尼绿色 dn40x1" 联塑</v>
          </cell>
          <cell r="E703" t="str">
            <v>PPR Flexible Joint Elbow (SocxFipt with Metal) dn40x1" Green(INA) - LESSO</v>
          </cell>
          <cell r="F703">
            <v>1</v>
          </cell>
          <cell r="G703">
            <v>68457</v>
          </cell>
          <cell r="H703">
            <v>61673</v>
          </cell>
          <cell r="I703">
            <v>0.12</v>
          </cell>
          <cell r="J703">
            <v>70083</v>
          </cell>
          <cell r="K703">
            <v>0.1</v>
          </cell>
          <cell r="L703">
            <v>68526</v>
          </cell>
        </row>
        <row r="704">
          <cell r="C704">
            <v>8010072839</v>
          </cell>
          <cell r="D704" t="str">
            <v>活接弯头(塑胶管与金属外螺纹连接)(PPR 配件)印尼绿色 dn40x1-1/4" 联塑</v>
          </cell>
          <cell r="E704" t="str">
            <v>PPR Flexible Joint Elbow (SocxFipt with Metal) dn40x1-1/4" Green(INA) - LESSO</v>
          </cell>
          <cell r="F704">
            <v>1</v>
          </cell>
          <cell r="G704">
            <v>115539</v>
          </cell>
          <cell r="H704">
            <v>104090</v>
          </cell>
          <cell r="I704">
            <v>0.12</v>
          </cell>
          <cell r="J704">
            <v>118285</v>
          </cell>
          <cell r="K704">
            <v>0.1</v>
          </cell>
          <cell r="L704">
            <v>115656</v>
          </cell>
        </row>
        <row r="705">
          <cell r="C705">
            <v>8010072833</v>
          </cell>
          <cell r="D705" t="str">
            <v>活接弯头(塑胶管与金属外螺纹连接)(PPR 配件)印尼绿色 dn50x1" 联塑</v>
          </cell>
          <cell r="E705" t="str">
            <v>PPR Flexible Joint Elbow (SocxFipt with Metal) dn50x1" Green(INA) - LESSO</v>
          </cell>
          <cell r="F705">
            <v>1</v>
          </cell>
          <cell r="G705">
            <v>72390</v>
          </cell>
          <cell r="H705">
            <v>65217</v>
          </cell>
          <cell r="I705">
            <v>0.12</v>
          </cell>
          <cell r="J705">
            <v>74111</v>
          </cell>
          <cell r="K705">
            <v>0.1</v>
          </cell>
          <cell r="L705">
            <v>72464</v>
          </cell>
        </row>
        <row r="706">
          <cell r="C706">
            <v>8010072834</v>
          </cell>
          <cell r="D706" t="str">
            <v>活接弯头(塑胶管与金属外螺纹连接)(PPR 配件)印尼绿色 dn50x1-1/4" 联塑</v>
          </cell>
          <cell r="E706" t="str">
            <v>PPR Flexible Joint Elbow (SocxFipt with Metal) dn50x1-1/4" Green(INA) - LESSO</v>
          </cell>
          <cell r="F706">
            <v>1</v>
          </cell>
          <cell r="G706">
            <v>119814</v>
          </cell>
          <cell r="H706">
            <v>107941</v>
          </cell>
          <cell r="I706">
            <v>0.12</v>
          </cell>
          <cell r="J706">
            <v>122661</v>
          </cell>
          <cell r="K706">
            <v>0.1</v>
          </cell>
          <cell r="L706">
            <v>119935</v>
          </cell>
        </row>
        <row r="707">
          <cell r="C707">
            <v>8010072764</v>
          </cell>
          <cell r="D707" t="str">
            <v>活接三通(PPR 配件)印尼绿色 dn20x1/2" 联塑</v>
          </cell>
          <cell r="E707" t="str">
            <v>PPR Flexible Tee dn20x1/2" Green(INA) - LESSO</v>
          </cell>
          <cell r="F707">
            <v>1</v>
          </cell>
          <cell r="G707">
            <v>32433</v>
          </cell>
          <cell r="H707">
            <v>29219</v>
          </cell>
          <cell r="I707">
            <v>0.12</v>
          </cell>
          <cell r="J707">
            <v>33204</v>
          </cell>
          <cell r="K707">
            <v>0.1</v>
          </cell>
          <cell r="L707">
            <v>32466</v>
          </cell>
        </row>
        <row r="708">
          <cell r="C708">
            <v>8010072771</v>
          </cell>
          <cell r="D708" t="str">
            <v>活接三通(PPR 配件)印尼绿色 dn20x3/4" 联塑</v>
          </cell>
          <cell r="E708" t="str">
            <v>PPR Flexible Tee dn20x3/4" Green(INA) - LESSO</v>
          </cell>
          <cell r="F708">
            <v>1</v>
          </cell>
          <cell r="G708">
            <v>41382</v>
          </cell>
          <cell r="H708">
            <v>37282</v>
          </cell>
          <cell r="I708">
            <v>0.12</v>
          </cell>
          <cell r="J708">
            <v>42366</v>
          </cell>
          <cell r="K708">
            <v>0.1</v>
          </cell>
          <cell r="L708">
            <v>41425</v>
          </cell>
        </row>
        <row r="709">
          <cell r="C709">
            <v>8010072765</v>
          </cell>
          <cell r="D709" t="str">
            <v>活接三通(PPR 配件)印尼绿色 dn25x1/2" 联塑</v>
          </cell>
          <cell r="E709" t="str">
            <v>PPR Flexible Tee dn25x1/2" Green(INA) - LESSO</v>
          </cell>
          <cell r="F709">
            <v>1</v>
          </cell>
          <cell r="G709">
            <v>33174</v>
          </cell>
          <cell r="H709">
            <v>29887</v>
          </cell>
          <cell r="I709">
            <v>0.12</v>
          </cell>
          <cell r="J709">
            <v>33963</v>
          </cell>
          <cell r="K709">
            <v>0.1</v>
          </cell>
          <cell r="L709">
            <v>33208</v>
          </cell>
        </row>
        <row r="710">
          <cell r="C710">
            <v>8010072766</v>
          </cell>
          <cell r="D710" t="str">
            <v>活接三通(PPR 配件)印尼绿色 dn25x3/4" 联塑</v>
          </cell>
          <cell r="E710" t="str">
            <v>PPR Flexible Tee dn25x3/4" Green(INA) - LESSO</v>
          </cell>
          <cell r="F710">
            <v>1</v>
          </cell>
          <cell r="G710">
            <v>42066</v>
          </cell>
          <cell r="H710">
            <v>37898</v>
          </cell>
          <cell r="I710">
            <v>0.12</v>
          </cell>
          <cell r="J710">
            <v>43066</v>
          </cell>
          <cell r="K710">
            <v>0.1</v>
          </cell>
          <cell r="L710">
            <v>42109</v>
          </cell>
        </row>
        <row r="711">
          <cell r="C711">
            <v>8010072772</v>
          </cell>
          <cell r="D711" t="str">
            <v>活接三通(PPR 配件)印尼绿色 dn32x1" 联塑</v>
          </cell>
          <cell r="E711" t="str">
            <v>PPR Flexible Tee dn32x1" Green(INA) - LESSO</v>
          </cell>
          <cell r="F711">
            <v>1</v>
          </cell>
          <cell r="G711">
            <v>67716</v>
          </cell>
          <cell r="H711">
            <v>61006</v>
          </cell>
          <cell r="I711">
            <v>0.12</v>
          </cell>
          <cell r="J711">
            <v>69325</v>
          </cell>
          <cell r="K711">
            <v>0.1</v>
          </cell>
          <cell r="L711">
            <v>67785</v>
          </cell>
        </row>
        <row r="712">
          <cell r="C712">
            <v>8010071471</v>
          </cell>
          <cell r="D712" t="str">
            <v>内螺纹三通Ⅰ型(PPR 配件)印尼绿色 dn20x1/2" 联塑</v>
          </cell>
          <cell r="E712" t="str">
            <v>PPR Female Thread Tee I dn20x1/2" Green(INA) - LESSO</v>
          </cell>
          <cell r="F712">
            <v>1</v>
          </cell>
          <cell r="G712">
            <v>9462</v>
          </cell>
          <cell r="H712">
            <v>8525</v>
          </cell>
          <cell r="I712">
            <v>0.12</v>
          </cell>
          <cell r="J712">
            <v>9688</v>
          </cell>
          <cell r="K712">
            <v>0.1</v>
          </cell>
          <cell r="L712">
            <v>9473</v>
          </cell>
        </row>
        <row r="713">
          <cell r="C713">
            <v>8010072484</v>
          </cell>
          <cell r="D713" t="str">
            <v>内螺纹三通Ⅰ型(PPR 配件)印尼绿色 dn20x3/4" 联塑</v>
          </cell>
          <cell r="E713" t="str">
            <v>PPR Female Thread Tee I dn20x3/4" Green(INA) - LESSO</v>
          </cell>
          <cell r="F713">
            <v>1</v>
          </cell>
          <cell r="G713">
            <v>13908</v>
          </cell>
          <cell r="H713">
            <v>12530</v>
          </cell>
          <cell r="I713">
            <v>0.12</v>
          </cell>
          <cell r="J713">
            <v>14239</v>
          </cell>
          <cell r="K713">
            <v>0.1</v>
          </cell>
          <cell r="L713">
            <v>13923</v>
          </cell>
        </row>
        <row r="714">
          <cell r="C714">
            <v>8010071472</v>
          </cell>
          <cell r="D714" t="str">
            <v>内螺纹三通Ⅰ型(PPR 配件)印尼绿色 dn25x1/2" 联塑</v>
          </cell>
          <cell r="E714" t="str">
            <v>PPR Female Thread Tee I dn25x1/2" Green(INA) - LESSO</v>
          </cell>
          <cell r="F714">
            <v>1</v>
          </cell>
          <cell r="G714">
            <v>10545</v>
          </cell>
          <cell r="H714">
            <v>9500</v>
          </cell>
          <cell r="I714">
            <v>0.12</v>
          </cell>
          <cell r="J714">
            <v>10796</v>
          </cell>
          <cell r="K714">
            <v>0.1</v>
          </cell>
          <cell r="L714">
            <v>10556</v>
          </cell>
        </row>
        <row r="715">
          <cell r="C715">
            <v>8010071473</v>
          </cell>
          <cell r="D715" t="str">
            <v>内螺纹三通Ⅰ型(PPR 配件)印尼绿色 dn25x3/4" 联塑</v>
          </cell>
          <cell r="E715" t="str">
            <v>PPR Female Thread Tee I dn25x3/4" Green(INA) - LESSO</v>
          </cell>
          <cell r="F715">
            <v>1</v>
          </cell>
          <cell r="G715">
            <v>12882</v>
          </cell>
          <cell r="H715">
            <v>11606</v>
          </cell>
          <cell r="I715">
            <v>0.12</v>
          </cell>
          <cell r="J715">
            <v>13189</v>
          </cell>
          <cell r="K715">
            <v>0.1</v>
          </cell>
          <cell r="L715">
            <v>12896</v>
          </cell>
        </row>
        <row r="716">
          <cell r="C716">
            <v>8010071474</v>
          </cell>
          <cell r="D716" t="str">
            <v>内螺纹三通Ⅰ型(PPR 配件)印尼绿色 dn32x1/2" 联塑</v>
          </cell>
          <cell r="E716" t="str">
            <v>PPR Female Thread Tee I dn32x1/2" Green(INA) - LESSO</v>
          </cell>
          <cell r="F716">
            <v>1</v>
          </cell>
          <cell r="G716">
            <v>11457</v>
          </cell>
          <cell r="H716">
            <v>10322</v>
          </cell>
          <cell r="I716">
            <v>0.12</v>
          </cell>
          <cell r="J716">
            <v>11730</v>
          </cell>
          <cell r="K716">
            <v>0.1</v>
          </cell>
          <cell r="L716">
            <v>11469</v>
          </cell>
        </row>
        <row r="717">
          <cell r="C717">
            <v>8010071475</v>
          </cell>
          <cell r="D717" t="str">
            <v>内螺纹三通Ⅰ型(PPR 配件)印尼绿色 dn32x3/4" 联塑</v>
          </cell>
          <cell r="E717" t="str">
            <v>PPR Female Thread Tee I dn32x3/4" Green(INA) - LESSO</v>
          </cell>
          <cell r="F717">
            <v>1</v>
          </cell>
          <cell r="G717">
            <v>14478</v>
          </cell>
          <cell r="H717">
            <v>13044</v>
          </cell>
          <cell r="I717">
            <v>0.12</v>
          </cell>
          <cell r="J717">
            <v>14823</v>
          </cell>
          <cell r="K717">
            <v>0.1</v>
          </cell>
          <cell r="L717">
            <v>14494</v>
          </cell>
        </row>
        <row r="718">
          <cell r="C718">
            <v>8010070525</v>
          </cell>
          <cell r="D718" t="str">
            <v>内螺纹三通Ⅱ型(PPR 配件)绿色 dn20x1/2" 联塑</v>
          </cell>
          <cell r="E718" t="str">
            <v>PPR Female Thread Tee II dn20x1/2" Green - LESSO</v>
          </cell>
          <cell r="F718">
            <v>1</v>
          </cell>
          <cell r="G718">
            <v>63156</v>
          </cell>
          <cell r="H718">
            <v>56898</v>
          </cell>
          <cell r="I718">
            <v>0.12</v>
          </cell>
          <cell r="J718">
            <v>64657</v>
          </cell>
          <cell r="K718">
            <v>0.1</v>
          </cell>
          <cell r="L718">
            <v>63220</v>
          </cell>
        </row>
        <row r="719">
          <cell r="C719">
            <v>8010071289</v>
          </cell>
          <cell r="D719" t="str">
            <v>内螺纹三通Ⅱ型(PPR 配件)绿色 dn40x1-1/4" 联塑</v>
          </cell>
          <cell r="E719" t="str">
            <v>PPR Female Thread Tee II dn40x1-1/4" Green - LESSO</v>
          </cell>
          <cell r="F719">
            <v>1</v>
          </cell>
          <cell r="G719">
            <v>338580</v>
          </cell>
          <cell r="H719">
            <v>305028</v>
          </cell>
          <cell r="I719">
            <v>0.12</v>
          </cell>
          <cell r="J719">
            <v>346623</v>
          </cell>
          <cell r="K719">
            <v>0.1</v>
          </cell>
          <cell r="L719">
            <v>338920</v>
          </cell>
        </row>
        <row r="720">
          <cell r="C720">
            <v>8010072742</v>
          </cell>
          <cell r="D720" t="str">
            <v>内螺纹三通Ⅱ型(PPR 配件)印尼绿色 dn20x1/2" 联塑</v>
          </cell>
          <cell r="E720" t="str">
            <v>PPR Female Thread Tee II dn20x1/2" Green(INA) - LESSO</v>
          </cell>
          <cell r="F720">
            <v>1</v>
          </cell>
          <cell r="G720">
            <v>28500</v>
          </cell>
          <cell r="H720">
            <v>25676</v>
          </cell>
          <cell r="I720">
            <v>0.12</v>
          </cell>
          <cell r="J720">
            <v>29178</v>
          </cell>
          <cell r="K720">
            <v>0.1</v>
          </cell>
          <cell r="L720">
            <v>28529</v>
          </cell>
        </row>
        <row r="721">
          <cell r="C721">
            <v>8010071476</v>
          </cell>
          <cell r="D721" t="str">
            <v>内螺纹三通Ⅱ型(PPR 配件)印尼绿色 dn32x1" 联塑</v>
          </cell>
          <cell r="E721" t="str">
            <v>PPR Female Thread Tee II dn32x1" Green(INA) - LESSO</v>
          </cell>
          <cell r="F721">
            <v>1</v>
          </cell>
          <cell r="G721">
            <v>46341</v>
          </cell>
          <cell r="H721">
            <v>41749</v>
          </cell>
          <cell r="I721">
            <v>0.12</v>
          </cell>
          <cell r="J721">
            <v>47443</v>
          </cell>
          <cell r="K721">
            <v>0.1</v>
          </cell>
          <cell r="L721">
            <v>46388</v>
          </cell>
        </row>
        <row r="722">
          <cell r="C722">
            <v>8010072773</v>
          </cell>
          <cell r="D722" t="str">
            <v>内螺纹三通Ⅱ型(PPR 配件)印尼绿色 dn40x1-1/4" 联塑</v>
          </cell>
          <cell r="E722" t="str">
            <v>PPR Female Thread Tee II dn40x1-1/4" Green(INA) - LESSO</v>
          </cell>
          <cell r="F722">
            <v>1</v>
          </cell>
          <cell r="G722">
            <v>82365</v>
          </cell>
          <cell r="H722">
            <v>74203</v>
          </cell>
          <cell r="I722">
            <v>0.12</v>
          </cell>
          <cell r="J722">
            <v>84322</v>
          </cell>
          <cell r="K722">
            <v>0.1</v>
          </cell>
          <cell r="L722">
            <v>82448</v>
          </cell>
        </row>
        <row r="723">
          <cell r="C723">
            <v>8010072774</v>
          </cell>
          <cell r="D723" t="str">
            <v>内螺纹三通Ⅱ型(PPR 配件)印尼绿色 dn50x1-1/2" 联塑</v>
          </cell>
          <cell r="E723" t="str">
            <v>PPR Female Thread Tee II dn50x1-1/2" Green(INA) - LESSO</v>
          </cell>
          <cell r="F723">
            <v>1</v>
          </cell>
          <cell r="G723">
            <v>125115</v>
          </cell>
          <cell r="H723">
            <v>112717</v>
          </cell>
          <cell r="I723">
            <v>0.12</v>
          </cell>
          <cell r="J723">
            <v>128088</v>
          </cell>
          <cell r="K723">
            <v>0.1</v>
          </cell>
          <cell r="L723">
            <v>125242</v>
          </cell>
        </row>
        <row r="724">
          <cell r="C724">
            <v>8010073712</v>
          </cell>
          <cell r="D724" t="str">
            <v>内螺纹三通Ⅱ型(PPR 配件)印尼绿色 dn63x2" 联塑</v>
          </cell>
          <cell r="E724" t="str">
            <v>PPR Female Thread Tee II dn63x2" Green(INA) - LESSO</v>
          </cell>
          <cell r="F724">
            <v>1</v>
          </cell>
          <cell r="G724">
            <v>212838</v>
          </cell>
          <cell r="H724">
            <v>191746</v>
          </cell>
          <cell r="I724">
            <v>0.12</v>
          </cell>
          <cell r="J724">
            <v>217894</v>
          </cell>
          <cell r="K724">
            <v>0.1</v>
          </cell>
          <cell r="L724">
            <v>213052</v>
          </cell>
        </row>
        <row r="725">
          <cell r="C725">
            <v>8010071477</v>
          </cell>
          <cell r="D725" t="str">
            <v>外螺纹三通Ⅰ型(PPR 配件)印尼绿色 dn20x1/2" 联塑</v>
          </cell>
          <cell r="E725" t="str">
            <v>PPR Male Thread Tee I dn20x1/2" Green(INA) - LESSO</v>
          </cell>
          <cell r="F725">
            <v>1</v>
          </cell>
          <cell r="G725">
            <v>14478</v>
          </cell>
          <cell r="H725">
            <v>13044</v>
          </cell>
          <cell r="I725">
            <v>0.12</v>
          </cell>
          <cell r="J725">
            <v>14823</v>
          </cell>
          <cell r="K725">
            <v>0.1</v>
          </cell>
          <cell r="L725">
            <v>14494</v>
          </cell>
        </row>
        <row r="726">
          <cell r="C726">
            <v>8010071478</v>
          </cell>
          <cell r="D726" t="str">
            <v>外螺纹三通Ⅰ型(PPR 配件)印尼绿色 dn20x3/4" 联塑</v>
          </cell>
          <cell r="E726" t="str">
            <v>PPR Male Thread Tee I dn20x3/4" Green(INA) - LESSO</v>
          </cell>
          <cell r="F726">
            <v>1</v>
          </cell>
          <cell r="G726">
            <v>20349</v>
          </cell>
          <cell r="H726">
            <v>18333</v>
          </cell>
          <cell r="I726">
            <v>0.12</v>
          </cell>
          <cell r="J726">
            <v>20833</v>
          </cell>
          <cell r="K726">
            <v>0.1</v>
          </cell>
          <cell r="L726">
            <v>20370</v>
          </cell>
        </row>
        <row r="727">
          <cell r="C727">
            <v>8010071479</v>
          </cell>
          <cell r="D727" t="str">
            <v>外螺纹三通Ⅰ型(PPR 配件)印尼绿色 dn25x1/2" 联塑</v>
          </cell>
          <cell r="E727" t="str">
            <v>PPR Male Thread Tee I dn25x1/2" Green(INA) - LESSO</v>
          </cell>
          <cell r="F727">
            <v>1</v>
          </cell>
          <cell r="G727">
            <v>17727</v>
          </cell>
          <cell r="H727">
            <v>15971</v>
          </cell>
          <cell r="I727">
            <v>0.12</v>
          </cell>
          <cell r="J727">
            <v>18149</v>
          </cell>
          <cell r="K727">
            <v>0.1</v>
          </cell>
          <cell r="L727">
            <v>17746</v>
          </cell>
        </row>
        <row r="728">
          <cell r="C728">
            <v>8010071480</v>
          </cell>
          <cell r="D728" t="str">
            <v>外螺纹三通Ⅰ型(PPR 配件)印尼绿色 dn25x3/4" 联塑</v>
          </cell>
          <cell r="E728" t="str">
            <v>PPR Male Thread Tee I dn25x3/4" Green(INA) - LESSO</v>
          </cell>
          <cell r="F728">
            <v>1</v>
          </cell>
          <cell r="G728">
            <v>21432</v>
          </cell>
          <cell r="H728">
            <v>19309</v>
          </cell>
          <cell r="I728">
            <v>0.12</v>
          </cell>
          <cell r="J728">
            <v>21943</v>
          </cell>
          <cell r="K728">
            <v>0.1</v>
          </cell>
          <cell r="L728">
            <v>21455</v>
          </cell>
        </row>
        <row r="729">
          <cell r="C729">
            <v>8010071481</v>
          </cell>
          <cell r="D729" t="str">
            <v>外螺纹三通Ⅰ型(PPR 配件)印尼绿色 dn32x1/2" 联塑</v>
          </cell>
          <cell r="E729" t="str">
            <v>PPR Male Thread Tee I dn32x1/2" Green(INA) - LESSO</v>
          </cell>
          <cell r="F729">
            <v>1</v>
          </cell>
          <cell r="G729">
            <v>17499</v>
          </cell>
          <cell r="H729">
            <v>15765</v>
          </cell>
          <cell r="I729">
            <v>0.12</v>
          </cell>
          <cell r="J729">
            <v>17915</v>
          </cell>
          <cell r="K729">
            <v>0.1</v>
          </cell>
          <cell r="L729">
            <v>17517</v>
          </cell>
        </row>
        <row r="730">
          <cell r="C730">
            <v>8010071482</v>
          </cell>
          <cell r="D730" t="str">
            <v>外螺纹三通Ⅰ型(PPR 配件)印尼绿色 dn32x3/4" 联塑</v>
          </cell>
          <cell r="E730" t="str">
            <v>PPR Male Thread Tee I dn32x3/4" Green(INA) - LESSO</v>
          </cell>
          <cell r="F730">
            <v>1</v>
          </cell>
          <cell r="G730">
            <v>20349</v>
          </cell>
          <cell r="H730">
            <v>18333</v>
          </cell>
          <cell r="I730">
            <v>0.12</v>
          </cell>
          <cell r="J730">
            <v>20833</v>
          </cell>
          <cell r="K730">
            <v>0.1</v>
          </cell>
          <cell r="L730">
            <v>20370</v>
          </cell>
        </row>
        <row r="731">
          <cell r="C731">
            <v>8010072835</v>
          </cell>
          <cell r="D731" t="str">
            <v>外螺纹三通Ⅱ型(PPR 配件)印尼绿色 dn25x1" 联塑</v>
          </cell>
          <cell r="E731" t="str">
            <v>PPR Male Thread Tee II dn25x1" Green(INA) - LESSO</v>
          </cell>
          <cell r="F731">
            <v>1</v>
          </cell>
          <cell r="G731">
            <v>72732</v>
          </cell>
          <cell r="H731">
            <v>65525</v>
          </cell>
          <cell r="I731">
            <v>0.12</v>
          </cell>
          <cell r="J731">
            <v>74461</v>
          </cell>
          <cell r="K731">
            <v>0.1</v>
          </cell>
          <cell r="L731">
            <v>72806</v>
          </cell>
        </row>
        <row r="732">
          <cell r="C732">
            <v>8010071483</v>
          </cell>
          <cell r="D732" t="str">
            <v>外螺纹三通Ⅱ型(PPR 配件)印尼绿色 dn32x1" 联塑</v>
          </cell>
          <cell r="E732" t="str">
            <v>PPR Male Thread Tee II dn32x1" Green(INA) - LESSO</v>
          </cell>
          <cell r="F732">
            <v>1</v>
          </cell>
          <cell r="G732">
            <v>73074</v>
          </cell>
          <cell r="H732">
            <v>65833</v>
          </cell>
          <cell r="I732">
            <v>0.12</v>
          </cell>
          <cell r="J732">
            <v>74811</v>
          </cell>
          <cell r="K732">
            <v>0.1</v>
          </cell>
          <cell r="L732">
            <v>73148</v>
          </cell>
        </row>
        <row r="733">
          <cell r="C733">
            <v>8010072840</v>
          </cell>
          <cell r="D733" t="str">
            <v>外螺纹三通Ⅱ型(PPR 配件)印尼绿色 dn40x1" 联塑</v>
          </cell>
          <cell r="E733" t="str">
            <v>PPR Male Thread Tee II dn40x1" Green(INA) - LESSO</v>
          </cell>
          <cell r="F733">
            <v>1</v>
          </cell>
          <cell r="G733">
            <v>76665</v>
          </cell>
          <cell r="H733">
            <v>69068</v>
          </cell>
          <cell r="I733">
            <v>0.12</v>
          </cell>
          <cell r="J733">
            <v>78487</v>
          </cell>
          <cell r="K733">
            <v>0.1</v>
          </cell>
          <cell r="L733">
            <v>76743</v>
          </cell>
        </row>
        <row r="734">
          <cell r="C734">
            <v>8010072777</v>
          </cell>
          <cell r="D734" t="str">
            <v>外螺纹三通Ⅱ型(PPR 配件)印尼绿色 dn40x1-1/4" 联塑</v>
          </cell>
          <cell r="E734" t="str">
            <v>PPR Male Thread Tee II dn40x1-1/4" Green(INA) - LESSO</v>
          </cell>
          <cell r="F734">
            <v>1</v>
          </cell>
          <cell r="G734">
            <v>133722</v>
          </cell>
          <cell r="H734">
            <v>120471</v>
          </cell>
          <cell r="I734">
            <v>0.12</v>
          </cell>
          <cell r="J734">
            <v>136899</v>
          </cell>
          <cell r="K734">
            <v>0.1</v>
          </cell>
          <cell r="L734">
            <v>133857</v>
          </cell>
        </row>
        <row r="735">
          <cell r="C735">
            <v>8010071287</v>
          </cell>
          <cell r="D735" t="str">
            <v>外螺纹三通Ⅱ型(PPR 配件)绿色 dn40x1-1/4" 联塑</v>
          </cell>
          <cell r="E735" t="str">
            <v>PPR Male Thread Tee II dn40x1-1/4" Green - LESSO</v>
          </cell>
          <cell r="F735">
            <v>1</v>
          </cell>
          <cell r="G735">
            <v>413820</v>
          </cell>
          <cell r="H735">
            <v>372811</v>
          </cell>
          <cell r="I735">
            <v>0.12</v>
          </cell>
          <cell r="J735">
            <v>423649</v>
          </cell>
          <cell r="K735">
            <v>0.1</v>
          </cell>
          <cell r="L735">
            <v>414235</v>
          </cell>
        </row>
        <row r="736">
          <cell r="C736">
            <v>8010071875</v>
          </cell>
          <cell r="D736" t="str">
            <v>外螺纹三通Ⅱ型(PPR 配件)绿色 dn50x1-1/2" 联塑</v>
          </cell>
          <cell r="E736" t="str">
            <v>PPR Male Thread Tee II dn50x1-1/2" Green - LESSO</v>
          </cell>
          <cell r="F736">
            <v>1</v>
          </cell>
          <cell r="G736">
            <v>514596</v>
          </cell>
          <cell r="H736">
            <v>463600</v>
          </cell>
          <cell r="I736">
            <v>0.12</v>
          </cell>
          <cell r="J736">
            <v>526819</v>
          </cell>
          <cell r="K736">
            <v>0.1</v>
          </cell>
          <cell r="L736">
            <v>515112</v>
          </cell>
        </row>
        <row r="737">
          <cell r="C737">
            <v>8010072841</v>
          </cell>
          <cell r="D737" t="str">
            <v>外螺纹三通Ⅱ型(PPR 配件)印尼绿色 dn50x1" 联塑</v>
          </cell>
          <cell r="E737" t="str">
            <v>PPR Male Thread Tee II dn50x1" Green(INA) - LESSO</v>
          </cell>
          <cell r="F737">
            <v>1</v>
          </cell>
          <cell r="G737">
            <v>74898</v>
          </cell>
          <cell r="H737">
            <v>67476</v>
          </cell>
          <cell r="I737">
            <v>0.12</v>
          </cell>
          <cell r="J737">
            <v>76678</v>
          </cell>
          <cell r="K737">
            <v>0.1</v>
          </cell>
          <cell r="L737">
            <v>74974</v>
          </cell>
        </row>
        <row r="738">
          <cell r="C738">
            <v>8010072778</v>
          </cell>
          <cell r="D738" t="str">
            <v>外螺纹三通Ⅱ型(PPR 配件)印尼绿色 dn50x1-1/2" 联塑</v>
          </cell>
          <cell r="E738" t="str">
            <v>PPR Male Thread Tee II dn50x1-1/2" Green(INA) - LESSO</v>
          </cell>
          <cell r="F738">
            <v>1</v>
          </cell>
          <cell r="G738">
            <v>169347</v>
          </cell>
          <cell r="H738">
            <v>152565</v>
          </cell>
          <cell r="I738">
            <v>0.12</v>
          </cell>
          <cell r="J738">
            <v>173370</v>
          </cell>
          <cell r="K738">
            <v>0.1</v>
          </cell>
          <cell r="L738">
            <v>169517</v>
          </cell>
        </row>
        <row r="739">
          <cell r="C739">
            <v>8010072779</v>
          </cell>
          <cell r="D739" t="str">
            <v>外螺纹三通Ⅱ型(PPR 配件)印尼绿色 dn63x2" 联塑</v>
          </cell>
          <cell r="E739" t="str">
            <v>PPR Male Thread Tee II dn63x2" Green(INA) - LESSO</v>
          </cell>
          <cell r="F739">
            <v>1</v>
          </cell>
          <cell r="G739">
            <v>241737</v>
          </cell>
          <cell r="H739">
            <v>217782</v>
          </cell>
          <cell r="I739">
            <v>0.12</v>
          </cell>
          <cell r="J739">
            <v>247480</v>
          </cell>
          <cell r="K739">
            <v>0.1</v>
          </cell>
          <cell r="L739">
            <v>241980</v>
          </cell>
        </row>
        <row r="740">
          <cell r="C740">
            <v>8010072780</v>
          </cell>
          <cell r="D740" t="str">
            <v>外螺纹三通Ⅱ型(PPR 配件)印尼绿色 dn75x2-1/2" 联塑</v>
          </cell>
          <cell r="E740" t="str">
            <v>PPR Male Thread Tee II dn75x2-1/2" Green(INA) - LESSO</v>
          </cell>
          <cell r="F740">
            <v>1</v>
          </cell>
          <cell r="G740">
            <v>508383</v>
          </cell>
          <cell r="H740">
            <v>458003</v>
          </cell>
          <cell r="I740">
            <v>0.12</v>
          </cell>
          <cell r="J740">
            <v>520458</v>
          </cell>
          <cell r="K740">
            <v>0.1</v>
          </cell>
          <cell r="L740">
            <v>508893</v>
          </cell>
        </row>
        <row r="741">
          <cell r="C741">
            <v>8010072477</v>
          </cell>
          <cell r="D741" t="str">
            <v>正四通(PPR 配件)印尼绿色 dn20 (1/2") 联塑</v>
          </cell>
          <cell r="E741" t="str">
            <v>PPR Cross dn20 (1/2") Green(INA) - LESSO</v>
          </cell>
          <cell r="F741">
            <v>1</v>
          </cell>
          <cell r="G741">
            <v>2548</v>
          </cell>
          <cell r="H741">
            <v>2296</v>
          </cell>
          <cell r="I741">
            <v>0.12</v>
          </cell>
          <cell r="J741">
            <v>2610</v>
          </cell>
          <cell r="K741">
            <v>0.1</v>
          </cell>
          <cell r="L741">
            <v>2552</v>
          </cell>
        </row>
        <row r="742">
          <cell r="C742">
            <v>8010072478</v>
          </cell>
          <cell r="D742" t="str">
            <v>正四通(PPR 配件)印尼绿色 dn25 (3/4") 联塑</v>
          </cell>
          <cell r="E742" t="str">
            <v>PPR Cross dn25 (3/4") Green(INA) - LESSO</v>
          </cell>
          <cell r="F742">
            <v>1</v>
          </cell>
          <cell r="G742">
            <v>4067</v>
          </cell>
          <cell r="H742">
            <v>3664</v>
          </cell>
          <cell r="I742">
            <v>0.12</v>
          </cell>
          <cell r="J742">
            <v>4164</v>
          </cell>
          <cell r="K742">
            <v>0.1</v>
          </cell>
          <cell r="L742">
            <v>4072</v>
          </cell>
        </row>
        <row r="743">
          <cell r="C743">
            <v>8010072479</v>
          </cell>
          <cell r="D743" t="str">
            <v>正四通(PPR 配件)印尼绿色 dn32 (1") 联塑</v>
          </cell>
          <cell r="E743" t="str">
            <v>PPR Cross dn32 (1") Green(INA) - LESSO</v>
          </cell>
          <cell r="F743">
            <v>1</v>
          </cell>
          <cell r="G743">
            <v>7840</v>
          </cell>
          <cell r="H743">
            <v>7064</v>
          </cell>
          <cell r="I743">
            <v>0.12</v>
          </cell>
          <cell r="J743">
            <v>8028</v>
          </cell>
          <cell r="K743">
            <v>0.1</v>
          </cell>
          <cell r="L743">
            <v>7849</v>
          </cell>
        </row>
        <row r="744">
          <cell r="C744">
            <v>8010072686</v>
          </cell>
          <cell r="D744" t="str">
            <v>正四通(PPR 配件)印尼绿色 dn40 (1-1/4") 联塑</v>
          </cell>
          <cell r="E744" t="str">
            <v>PPR Cross dn40 (1-1/4") Green(INA) - LESSO</v>
          </cell>
          <cell r="F744">
            <v>1</v>
          </cell>
          <cell r="G744">
            <v>11613</v>
          </cell>
          <cell r="H744">
            <v>10463</v>
          </cell>
          <cell r="I744">
            <v>0.12</v>
          </cell>
          <cell r="J744">
            <v>11890</v>
          </cell>
          <cell r="K744">
            <v>0.1</v>
          </cell>
          <cell r="L744">
            <v>11626</v>
          </cell>
        </row>
        <row r="745">
          <cell r="C745">
            <v>8010072687</v>
          </cell>
          <cell r="D745" t="str">
            <v>正四通(PPR 配件)印尼绿色 dn50 (1-1/2") 联塑</v>
          </cell>
          <cell r="E745" t="str">
            <v>PPR Cross dn50 (1-1/2") Green(INA) - LESSO</v>
          </cell>
          <cell r="F745">
            <v>1</v>
          </cell>
          <cell r="G745">
            <v>20482</v>
          </cell>
          <cell r="H745">
            <v>18453</v>
          </cell>
          <cell r="I745">
            <v>0.12</v>
          </cell>
          <cell r="J745">
            <v>20970</v>
          </cell>
          <cell r="K745">
            <v>0.1</v>
          </cell>
          <cell r="L745">
            <v>20504</v>
          </cell>
        </row>
        <row r="746">
          <cell r="C746">
            <v>8010072514</v>
          </cell>
          <cell r="D746" t="str">
            <v>活接球阀(PPR 配件)印尼绿色 dn20 (1/2") 联塑</v>
          </cell>
          <cell r="E746" t="str">
            <v>PPR Ball Valve dn20 (1/2") Green(INA) - LESSO</v>
          </cell>
          <cell r="F746">
            <v>1</v>
          </cell>
          <cell r="G746">
            <v>94335</v>
          </cell>
          <cell r="H746">
            <v>84987</v>
          </cell>
          <cell r="I746">
            <v>0.12</v>
          </cell>
          <cell r="J746">
            <v>96577</v>
          </cell>
          <cell r="K746">
            <v>0.1</v>
          </cell>
          <cell r="L746">
            <v>94430</v>
          </cell>
        </row>
        <row r="747">
          <cell r="C747">
            <v>8010072515</v>
          </cell>
          <cell r="D747" t="str">
            <v>活接球阀(PPR 配件)印尼绿色 dn25 (3/4") 联塑</v>
          </cell>
          <cell r="E747" t="str">
            <v>PPR Ball Valve dn25 (3/4") Green(INA) - LESSO</v>
          </cell>
          <cell r="F747">
            <v>1</v>
          </cell>
          <cell r="G747">
            <v>163305</v>
          </cell>
          <cell r="H747">
            <v>147122</v>
          </cell>
          <cell r="I747">
            <v>0.12</v>
          </cell>
          <cell r="J747">
            <v>167185</v>
          </cell>
          <cell r="K747">
            <v>0.1</v>
          </cell>
          <cell r="L747">
            <v>163469</v>
          </cell>
        </row>
        <row r="748">
          <cell r="C748">
            <v>8010072516</v>
          </cell>
          <cell r="D748" t="str">
            <v>活接球阀(PPR 配件)印尼绿色 dn32 (1") 联塑</v>
          </cell>
          <cell r="E748" t="str">
            <v>PPR Ball Valve dn32 (1") Green(INA) - LESSO</v>
          </cell>
          <cell r="F748">
            <v>1</v>
          </cell>
          <cell r="G748">
            <v>254391</v>
          </cell>
          <cell r="H748">
            <v>229182</v>
          </cell>
          <cell r="I748">
            <v>0.12</v>
          </cell>
          <cell r="J748">
            <v>260435</v>
          </cell>
          <cell r="K748">
            <v>0.1</v>
          </cell>
          <cell r="L748">
            <v>254647</v>
          </cell>
        </row>
        <row r="749">
          <cell r="C749">
            <v>8010071342</v>
          </cell>
          <cell r="D749" t="str">
            <v>双活接球阀(承口连接)Ⅱ型(PPR 配件)印尼绿色 dn20 (1/2") 联塑</v>
          </cell>
          <cell r="E749" t="str">
            <v>PPR Ture Union Ball Valve (Socket Type) II (SocxSoc) dn20 (1/2") Green(INA) - LESSO</v>
          </cell>
          <cell r="F749">
            <v>1</v>
          </cell>
          <cell r="G749">
            <v>87324</v>
          </cell>
          <cell r="H749">
            <v>78671</v>
          </cell>
          <cell r="I749">
            <v>0.12</v>
          </cell>
          <cell r="J749">
            <v>89399</v>
          </cell>
          <cell r="K749">
            <v>0.1</v>
          </cell>
          <cell r="L749">
            <v>87413</v>
          </cell>
        </row>
        <row r="750">
          <cell r="C750">
            <v>8010071343</v>
          </cell>
          <cell r="D750" t="str">
            <v>双活接球阀(承口连接)Ⅱ型(PPR 配件)印尼绿色 dn25 (3/4") 联塑</v>
          </cell>
          <cell r="E750" t="str">
            <v>PPR TURE Union Ball Valve (Socket Type) II (SocxSoc) dn25 (3/4") Green(INA) - LESSO</v>
          </cell>
          <cell r="F750">
            <v>1</v>
          </cell>
          <cell r="G750">
            <v>118389</v>
          </cell>
          <cell r="H750">
            <v>106657</v>
          </cell>
          <cell r="I750">
            <v>0.12</v>
          </cell>
          <cell r="J750">
            <v>121202</v>
          </cell>
          <cell r="K750">
            <v>0.1</v>
          </cell>
          <cell r="L750">
            <v>118508</v>
          </cell>
        </row>
        <row r="751">
          <cell r="C751">
            <v>8010071344</v>
          </cell>
          <cell r="D751" t="str">
            <v>双活接球阀(承口连接)Ⅱ型(PPR 配件)印尼绿色 dn32 (1") 联塑</v>
          </cell>
          <cell r="E751" t="str">
            <v>PPR Ture Union Ball Valve (Socket Type) II (SocxSoc) dn32 (1") Green(INA) - LESSO</v>
          </cell>
          <cell r="F751">
            <v>1</v>
          </cell>
          <cell r="G751">
            <v>217512</v>
          </cell>
          <cell r="H751">
            <v>195957</v>
          </cell>
          <cell r="I751">
            <v>0.12</v>
          </cell>
          <cell r="J751">
            <v>222679</v>
          </cell>
          <cell r="K751">
            <v>0.1</v>
          </cell>
          <cell r="L751">
            <v>217730</v>
          </cell>
        </row>
        <row r="752">
          <cell r="C752">
            <v>8010072739</v>
          </cell>
          <cell r="D752" t="str">
            <v>双活接球阀(承口连接)Ⅱ型(PPR 配件)印尼绿色 dn40 (1-1/4") 联塑</v>
          </cell>
          <cell r="E752" t="str">
            <v>PPR Ture Union Ball Valve (Socket Type) II dn40 (1-1/4") Green(INA) - LESSO</v>
          </cell>
          <cell r="F752">
            <v>1</v>
          </cell>
          <cell r="G752">
            <v>408576</v>
          </cell>
          <cell r="H752">
            <v>368087</v>
          </cell>
          <cell r="I752">
            <v>0.12</v>
          </cell>
          <cell r="J752">
            <v>418281</v>
          </cell>
          <cell r="K752">
            <v>0.1</v>
          </cell>
          <cell r="L752">
            <v>408986</v>
          </cell>
        </row>
        <row r="753">
          <cell r="C753">
            <v>8010072740</v>
          </cell>
          <cell r="D753" t="str">
            <v>双活接球阀(承口连接)Ⅱ型(PPR 配件)印尼绿色 dn50 (1-1/2") 联塑</v>
          </cell>
          <cell r="E753" t="str">
            <v>PPR Ture Union Ball Valve (Socket Type) II dn50 (1-1/2") Green(INA) - LESSO</v>
          </cell>
          <cell r="F753">
            <v>1</v>
          </cell>
          <cell r="G753">
            <v>592857</v>
          </cell>
          <cell r="H753">
            <v>534106</v>
          </cell>
          <cell r="I753">
            <v>0.12</v>
          </cell>
          <cell r="J753">
            <v>606939</v>
          </cell>
          <cell r="K753">
            <v>0.1</v>
          </cell>
          <cell r="L753">
            <v>593452</v>
          </cell>
        </row>
        <row r="754">
          <cell r="C754">
            <v>8010072741</v>
          </cell>
          <cell r="D754" t="str">
            <v>双活接球阀(承口连接)Ⅱ型(PPR 配件)印尼绿色 dn63 (2") 联塑</v>
          </cell>
          <cell r="E754" t="str">
            <v>PPR Ture Union Ball Valve (Socket Type) II dn63 (2") Green(INA) - LESSO</v>
          </cell>
          <cell r="F754">
            <v>1</v>
          </cell>
          <cell r="G754">
            <v>874152</v>
          </cell>
          <cell r="H754">
            <v>787525</v>
          </cell>
          <cell r="I754">
            <v>0.12</v>
          </cell>
          <cell r="J754">
            <v>894915</v>
          </cell>
          <cell r="K754">
            <v>0.1</v>
          </cell>
          <cell r="L754">
            <v>875028</v>
          </cell>
        </row>
        <row r="755">
          <cell r="D755" t="str">
            <v>全PPR球阀20  DIZYN</v>
          </cell>
          <cell r="E755" t="str">
            <v>PPR Brass Ball Valve 20  DIZYN</v>
          </cell>
          <cell r="F755">
            <v>0</v>
          </cell>
          <cell r="G755">
            <v>0</v>
          </cell>
          <cell r="H755">
            <v>0</v>
          </cell>
        </row>
        <row r="755">
          <cell r="J755" t="str">
            <v/>
          </cell>
        </row>
        <row r="755">
          <cell r="L755" t="str">
            <v/>
          </cell>
        </row>
        <row r="756">
          <cell r="D756" t="str">
            <v>全PPR球阀25  DIZYN</v>
          </cell>
          <cell r="E756" t="str">
            <v>PPR Brass Ball Valve 25  DIZYN</v>
          </cell>
          <cell r="F756">
            <v>0</v>
          </cell>
          <cell r="G756">
            <v>0</v>
          </cell>
          <cell r="H756">
            <v>0</v>
          </cell>
        </row>
        <row r="756">
          <cell r="J756" t="str">
            <v/>
          </cell>
        </row>
        <row r="756">
          <cell r="L756" t="str">
            <v/>
          </cell>
        </row>
        <row r="757">
          <cell r="D757" t="str">
            <v>全PPR球阀32  DIZYN</v>
          </cell>
          <cell r="E757" t="str">
            <v>PPR Brass Ball Valve 32  DIZYN</v>
          </cell>
          <cell r="F757">
            <v>0</v>
          </cell>
          <cell r="G757">
            <v>0</v>
          </cell>
          <cell r="H757">
            <v>0</v>
          </cell>
        </row>
        <row r="757">
          <cell r="J757" t="str">
            <v/>
          </cell>
        </row>
        <row r="757">
          <cell r="L757" t="str">
            <v/>
          </cell>
        </row>
        <row r="758">
          <cell r="D758" t="str">
            <v>全PPR球阀40  DIZYN</v>
          </cell>
          <cell r="E758" t="str">
            <v>PPR Brass Ball Valve 40  DIZYN</v>
          </cell>
          <cell r="F758">
            <v>0</v>
          </cell>
          <cell r="G758">
            <v>0</v>
          </cell>
          <cell r="H758">
            <v>0</v>
          </cell>
        </row>
        <row r="758">
          <cell r="J758" t="str">
            <v/>
          </cell>
        </row>
        <row r="758">
          <cell r="L758" t="str">
            <v/>
          </cell>
        </row>
        <row r="759">
          <cell r="D759" t="str">
            <v>全PPR球阀50  DIZYN</v>
          </cell>
          <cell r="E759" t="str">
            <v>PPR Brass Ball Valve 50  DIZYN</v>
          </cell>
          <cell r="F759">
            <v>0</v>
          </cell>
          <cell r="G759">
            <v>0</v>
          </cell>
          <cell r="H759">
            <v>0</v>
          </cell>
        </row>
        <row r="759">
          <cell r="J759" t="str">
            <v/>
          </cell>
        </row>
        <row r="759">
          <cell r="L759" t="str">
            <v/>
          </cell>
        </row>
        <row r="760">
          <cell r="D760" t="str">
            <v>全PPR球阀63  DIZYN</v>
          </cell>
          <cell r="E760" t="str">
            <v>PPR Brass Ball Valve 63  DIZYN</v>
          </cell>
          <cell r="F760">
            <v>0</v>
          </cell>
          <cell r="G760">
            <v>0</v>
          </cell>
          <cell r="H760">
            <v>0</v>
          </cell>
        </row>
        <row r="760">
          <cell r="J760" t="str">
            <v/>
          </cell>
        </row>
        <row r="760">
          <cell r="L760" t="str">
            <v/>
          </cell>
        </row>
        <row r="761">
          <cell r="D761" t="str">
            <v>全PPR球阀90  DIZYN</v>
          </cell>
          <cell r="E761" t="str">
            <v>PPR Brass Ball Valve 90  DIZYN</v>
          </cell>
          <cell r="F761">
            <v>0</v>
          </cell>
          <cell r="G761">
            <v>0</v>
          </cell>
          <cell r="H761">
            <v>0</v>
          </cell>
        </row>
        <row r="761">
          <cell r="J761" t="str">
            <v/>
          </cell>
        </row>
        <row r="761">
          <cell r="L761" t="str">
            <v/>
          </cell>
        </row>
        <row r="762">
          <cell r="C762">
            <v>8010072730</v>
          </cell>
          <cell r="D762" t="str">
            <v>外螺纹单活接球阀Ⅱ型(PPR 配件)印尼绿色 dn20x1/2" 联塑</v>
          </cell>
          <cell r="E762" t="str">
            <v>PPR Male Thread Union Ball Valve II dn20x1/2" Green(INA) - LESSO</v>
          </cell>
          <cell r="F762">
            <v>1</v>
          </cell>
          <cell r="G762">
            <v>81681</v>
          </cell>
          <cell r="H762">
            <v>73587</v>
          </cell>
          <cell r="I762">
            <v>0.12</v>
          </cell>
          <cell r="J762">
            <v>83622</v>
          </cell>
          <cell r="K762">
            <v>0.1</v>
          </cell>
          <cell r="L762">
            <v>81764</v>
          </cell>
        </row>
        <row r="763">
          <cell r="C763">
            <v>8010072731</v>
          </cell>
          <cell r="D763" t="str">
            <v>外螺纹单活接球阀Ⅱ型(PPR 配件)印尼绿色 dn25x3/4" 联塑</v>
          </cell>
          <cell r="E763" t="str">
            <v>PPR Male Thread Union Ball Valve II dn25x3/4" Green(INA) - LESSO</v>
          </cell>
          <cell r="F763">
            <v>1</v>
          </cell>
          <cell r="G763">
            <v>118731</v>
          </cell>
          <cell r="H763">
            <v>106965</v>
          </cell>
          <cell r="I763">
            <v>0.12</v>
          </cell>
          <cell r="J763">
            <v>121552</v>
          </cell>
          <cell r="K763">
            <v>0.1</v>
          </cell>
          <cell r="L763">
            <v>118850</v>
          </cell>
        </row>
        <row r="764">
          <cell r="C764">
            <v>8010072732</v>
          </cell>
          <cell r="D764" t="str">
            <v>外螺纹单活接球阀Ⅱ型(PPR 配件)印尼绿色 dn32x1" 联塑</v>
          </cell>
          <cell r="E764" t="str">
            <v>PPR Male Thread Union Ball Valve II dn32x1" Green(INA) - LESSO</v>
          </cell>
          <cell r="F764">
            <v>1</v>
          </cell>
          <cell r="G764">
            <v>207138</v>
          </cell>
          <cell r="H764">
            <v>186611</v>
          </cell>
          <cell r="I764">
            <v>0.12</v>
          </cell>
          <cell r="J764">
            <v>212058</v>
          </cell>
          <cell r="K764">
            <v>0.1</v>
          </cell>
          <cell r="L764">
            <v>207346</v>
          </cell>
        </row>
        <row r="765">
          <cell r="C765">
            <v>8010072760</v>
          </cell>
          <cell r="D765" t="str">
            <v>外螺纹单活接球阀Ⅱ型(PPR 配件)印尼绿色 dn50x1-1/2" 联塑</v>
          </cell>
          <cell r="E765" t="str">
            <v>PPR Male Thread Union Ball Valve II dn50x1-1/2" Green(INA) - LESSO</v>
          </cell>
          <cell r="F765">
            <v>1</v>
          </cell>
          <cell r="G765">
            <v>540075</v>
          </cell>
          <cell r="H765">
            <v>486555</v>
          </cell>
          <cell r="I765">
            <v>0.12</v>
          </cell>
          <cell r="J765">
            <v>552904</v>
          </cell>
          <cell r="K765">
            <v>0.1</v>
          </cell>
          <cell r="L765">
            <v>540617</v>
          </cell>
        </row>
        <row r="766">
          <cell r="C766">
            <v>8010072762</v>
          </cell>
          <cell r="D766" t="str">
            <v>外螺纹单活接球阀Ⅱ型(PPR 配件)印尼绿色 dn63x2" 联塑</v>
          </cell>
          <cell r="E766" t="str">
            <v>PPR Male Thread Union Ball Valve II dn63x2" Green(INA) - LESSO</v>
          </cell>
          <cell r="F766">
            <v>1</v>
          </cell>
          <cell r="G766">
            <v>818178</v>
          </cell>
          <cell r="H766">
            <v>737098</v>
          </cell>
          <cell r="I766">
            <v>0.12</v>
          </cell>
          <cell r="J766">
            <v>837612</v>
          </cell>
          <cell r="K766">
            <v>0.1</v>
          </cell>
          <cell r="L766">
            <v>818998</v>
          </cell>
        </row>
        <row r="767">
          <cell r="C767">
            <v>8010072736</v>
          </cell>
          <cell r="D767" t="str">
            <v>内螺纹单活接球阀Ⅱ型(PPR 配件)印尼绿色 dn20x1/2" 联塑</v>
          </cell>
          <cell r="E767" t="str">
            <v>PPR Female Thread Union Ball Valve II dn20x1/2" Green(INA) - LESSO</v>
          </cell>
          <cell r="F767">
            <v>1</v>
          </cell>
          <cell r="G767">
            <v>79515</v>
          </cell>
          <cell r="H767">
            <v>71636</v>
          </cell>
          <cell r="I767">
            <v>0.12</v>
          </cell>
          <cell r="J767">
            <v>81405</v>
          </cell>
          <cell r="K767">
            <v>0.1</v>
          </cell>
          <cell r="L767">
            <v>79596</v>
          </cell>
        </row>
        <row r="768">
          <cell r="C768">
            <v>8010072737</v>
          </cell>
          <cell r="D768" t="str">
            <v>内螺纹单活接球阀Ⅱ型(PPR 配件)印尼绿色 dn25x3/4" 联塑</v>
          </cell>
          <cell r="E768" t="str">
            <v>PPR Female Thread Union Ball Valve II dn25x3/4" Green(INA) - LESSO</v>
          </cell>
          <cell r="F768">
            <v>1</v>
          </cell>
          <cell r="G768">
            <v>111264</v>
          </cell>
          <cell r="H768">
            <v>100238</v>
          </cell>
          <cell r="I768">
            <v>0.12</v>
          </cell>
          <cell r="J768">
            <v>113907</v>
          </cell>
          <cell r="K768">
            <v>0.1</v>
          </cell>
          <cell r="L768">
            <v>111376</v>
          </cell>
        </row>
        <row r="769">
          <cell r="C769">
            <v>8010072738</v>
          </cell>
          <cell r="D769" t="str">
            <v>内螺纹单活接球阀Ⅱ型(PPR 配件)印尼绿色 dn32x1" 联塑</v>
          </cell>
          <cell r="E769" t="str">
            <v>PPR Female Thread Union Ball Valve II dn32x1" Green(INA) - LESSO</v>
          </cell>
          <cell r="F769">
            <v>1</v>
          </cell>
          <cell r="G769">
            <v>185421</v>
          </cell>
          <cell r="H769">
            <v>167046</v>
          </cell>
          <cell r="I769">
            <v>0.12</v>
          </cell>
          <cell r="J769">
            <v>189825</v>
          </cell>
          <cell r="K769">
            <v>0.1</v>
          </cell>
          <cell r="L769">
            <v>185607</v>
          </cell>
        </row>
        <row r="770">
          <cell r="C770">
            <v>8010072761</v>
          </cell>
          <cell r="D770" t="str">
            <v>内螺纹单活接球阀Ⅱ型(PPR 配件)印尼绿色 dn50x1-1/2" 联塑</v>
          </cell>
          <cell r="E770" t="str">
            <v>PPR Female Thread Union Ball Valve II dn50x1-1/2" Green(INA) - LESSO</v>
          </cell>
          <cell r="F770">
            <v>1</v>
          </cell>
          <cell r="G770">
            <v>494475</v>
          </cell>
          <cell r="H770">
            <v>445473</v>
          </cell>
          <cell r="I770">
            <v>0.12</v>
          </cell>
          <cell r="J770">
            <v>506220</v>
          </cell>
          <cell r="K770">
            <v>0.1</v>
          </cell>
          <cell r="L770">
            <v>494970</v>
          </cell>
        </row>
        <row r="771">
          <cell r="C771">
            <v>8010072763</v>
          </cell>
          <cell r="D771" t="str">
            <v>内螺纹单活接球阀Ⅱ型(PPR 配件)印尼绿色 dn63x2" 联塑</v>
          </cell>
          <cell r="E771" t="str">
            <v>PPR Female Thread Union Ball Valve II dn63x2" Green(INA) - LESSO</v>
          </cell>
          <cell r="F771">
            <v>1</v>
          </cell>
          <cell r="G771">
            <v>704064</v>
          </cell>
          <cell r="H771">
            <v>634292</v>
          </cell>
          <cell r="I771">
            <v>0.12</v>
          </cell>
          <cell r="J771">
            <v>720787</v>
          </cell>
          <cell r="K771">
            <v>0.1</v>
          </cell>
          <cell r="L771">
            <v>704769</v>
          </cell>
        </row>
        <row r="772">
          <cell r="C772">
            <v>8010071345</v>
          </cell>
          <cell r="D772" t="str">
            <v>截止阀(PPR 配件)印尼绿色 dn20 (1/2") 联塑</v>
          </cell>
          <cell r="E772" t="str">
            <v>PPR Stop Valve dn20 (1/2") Green(INA) - LESSO</v>
          </cell>
          <cell r="F772">
            <v>1</v>
          </cell>
          <cell r="G772">
            <v>42237</v>
          </cell>
          <cell r="H772">
            <v>38052</v>
          </cell>
          <cell r="I772">
            <v>0.12</v>
          </cell>
          <cell r="J772">
            <v>43241</v>
          </cell>
          <cell r="K772">
            <v>0.1</v>
          </cell>
          <cell r="L772">
            <v>42280</v>
          </cell>
        </row>
        <row r="773">
          <cell r="C773">
            <v>8010071346</v>
          </cell>
          <cell r="D773" t="str">
            <v>截止阀(PPR 配件)印尼绿色 dn25 (3/4") 联塑</v>
          </cell>
          <cell r="E773" t="str">
            <v>PPR Stop Valve dn25 (3/4") Green(INA) - LESSO</v>
          </cell>
          <cell r="F773">
            <v>1</v>
          </cell>
          <cell r="G773">
            <v>57798</v>
          </cell>
          <cell r="H773">
            <v>52071</v>
          </cell>
          <cell r="I773">
            <v>0.12</v>
          </cell>
          <cell r="J773">
            <v>59172</v>
          </cell>
          <cell r="K773">
            <v>0.1</v>
          </cell>
          <cell r="L773">
            <v>57857</v>
          </cell>
        </row>
        <row r="774">
          <cell r="C774">
            <v>8010071347</v>
          </cell>
          <cell r="D774" t="str">
            <v>截止阀(PPR 配件)印尼绿色 dn32 (1") 联塑</v>
          </cell>
          <cell r="E774" t="str">
            <v>PPR Stop Valve dn32 (1") Green(INA) - LESSO</v>
          </cell>
          <cell r="F774">
            <v>1</v>
          </cell>
          <cell r="G774">
            <v>98781</v>
          </cell>
          <cell r="H774">
            <v>88992</v>
          </cell>
          <cell r="I774">
            <v>0.12</v>
          </cell>
          <cell r="J774">
            <v>101128</v>
          </cell>
          <cell r="K774">
            <v>0.1</v>
          </cell>
          <cell r="L774">
            <v>98880</v>
          </cell>
        </row>
        <row r="775">
          <cell r="C775">
            <v>8010071348</v>
          </cell>
          <cell r="D775" t="str">
            <v>截止阀(PPR 配件)印尼绿色 dn40 (1-1/4") 联塑</v>
          </cell>
          <cell r="E775" t="str">
            <v>PPR Stop Valve dn40 (1-1/4") Green(INA) - LESSO</v>
          </cell>
          <cell r="F775">
            <v>1</v>
          </cell>
          <cell r="G775">
            <v>98781</v>
          </cell>
          <cell r="H775">
            <v>88992</v>
          </cell>
          <cell r="I775">
            <v>0.12</v>
          </cell>
          <cell r="J775">
            <v>101128</v>
          </cell>
          <cell r="K775">
            <v>0.1</v>
          </cell>
          <cell r="L775">
            <v>98880</v>
          </cell>
        </row>
        <row r="776">
          <cell r="C776">
            <v>8010071349</v>
          </cell>
          <cell r="D776" t="str">
            <v>截止阀(PPR 配件)印尼绿色 dn50 (1-1/2") 联塑</v>
          </cell>
          <cell r="E776" t="str">
            <v>PPR Stop Valve dn50 (1-1/2") Green(INA) - LESSO</v>
          </cell>
          <cell r="F776">
            <v>1</v>
          </cell>
          <cell r="G776">
            <v>169290</v>
          </cell>
          <cell r="H776">
            <v>152514</v>
          </cell>
          <cell r="I776">
            <v>0.12</v>
          </cell>
          <cell r="J776">
            <v>173312</v>
          </cell>
          <cell r="K776">
            <v>0.1</v>
          </cell>
          <cell r="L776">
            <v>169460</v>
          </cell>
        </row>
        <row r="777">
          <cell r="C777">
            <v>8010071350</v>
          </cell>
          <cell r="D777" t="str">
            <v>截止阀(PPR 配件)印尼绿色 dn63 (2") 联塑</v>
          </cell>
          <cell r="E777" t="str">
            <v>PPR Stop Valve dn63 (2") Green(INA) - LESSO</v>
          </cell>
          <cell r="F777">
            <v>1</v>
          </cell>
          <cell r="G777">
            <v>239115</v>
          </cell>
          <cell r="H777">
            <v>215419</v>
          </cell>
          <cell r="I777">
            <v>0.12</v>
          </cell>
          <cell r="J777">
            <v>244795</v>
          </cell>
          <cell r="K777">
            <v>0.1</v>
          </cell>
          <cell r="L777">
            <v>239355</v>
          </cell>
        </row>
        <row r="778">
          <cell r="C778">
            <v>8010072853</v>
          </cell>
          <cell r="D778" t="str">
            <v>截止阀(PPR 配件)印尼绿色 dn75 (2-1/2") 联塑</v>
          </cell>
          <cell r="E778" t="str">
            <v>PPR Stop Valve dn75 (2-1/2") Green(INA) - LESSO</v>
          </cell>
          <cell r="F778">
            <v>1</v>
          </cell>
          <cell r="G778">
            <v>273429</v>
          </cell>
          <cell r="H778">
            <v>246333</v>
          </cell>
          <cell r="I778">
            <v>0.12</v>
          </cell>
          <cell r="J778">
            <v>279924</v>
          </cell>
          <cell r="K778">
            <v>0.1</v>
          </cell>
          <cell r="L778">
            <v>273704</v>
          </cell>
        </row>
        <row r="779">
          <cell r="C779">
            <v>8010072854</v>
          </cell>
          <cell r="D779" t="str">
            <v>截止阀(PPR 配件)印尼绿色 dn90 (3") 联塑</v>
          </cell>
          <cell r="E779" t="str">
            <v>PPR Stop Valve dn90 (3") Green(INA) - LESSO</v>
          </cell>
          <cell r="F779">
            <v>1</v>
          </cell>
          <cell r="G779">
            <v>446709</v>
          </cell>
          <cell r="H779">
            <v>402441</v>
          </cell>
          <cell r="I779">
            <v>0.12</v>
          </cell>
          <cell r="J779">
            <v>457320</v>
          </cell>
          <cell r="K779">
            <v>0.1</v>
          </cell>
          <cell r="L779">
            <v>447157</v>
          </cell>
        </row>
        <row r="780">
          <cell r="C780">
            <v>8010072855</v>
          </cell>
          <cell r="D780" t="str">
            <v>截止阀(PPR 配件)印尼绿色 dn110 (4") 联塑</v>
          </cell>
          <cell r="E780" t="str">
            <v>PPR Stop Valve dn110(4") Green(INA) - LESSO</v>
          </cell>
          <cell r="F780">
            <v>1</v>
          </cell>
          <cell r="G780">
            <v>729771</v>
          </cell>
          <cell r="H780">
            <v>657452</v>
          </cell>
          <cell r="I780">
            <v>0.12</v>
          </cell>
          <cell r="J780">
            <v>747105</v>
          </cell>
          <cell r="K780">
            <v>0.1</v>
          </cell>
          <cell r="L780">
            <v>730503</v>
          </cell>
        </row>
        <row r="781">
          <cell r="C781">
            <v>8010072486</v>
          </cell>
          <cell r="D781" t="str">
            <v>螺纹堵头(PPR 配件)印尼绿色 dn20 (1/2") 联塑</v>
          </cell>
          <cell r="E781" t="str">
            <v>PPR Male Thread plug dn20 (1/2") Green(INA) - LESSO</v>
          </cell>
          <cell r="F781">
            <v>1</v>
          </cell>
          <cell r="G781">
            <v>637</v>
          </cell>
          <cell r="H781">
            <v>574</v>
          </cell>
          <cell r="I781">
            <v>0.12</v>
          </cell>
          <cell r="J781">
            <v>653</v>
          </cell>
          <cell r="K781">
            <v>0.1</v>
          </cell>
          <cell r="L781">
            <v>638</v>
          </cell>
        </row>
        <row r="782">
          <cell r="C782">
            <v>8010072487</v>
          </cell>
          <cell r="D782" t="str">
            <v>螺纹堵头(PPR 配件)印尼绿色 dn25 (3/4") 联塑</v>
          </cell>
          <cell r="E782" t="str">
            <v>PPR Male Thread plug dn25 (3/4") Green(INA) - LESSO</v>
          </cell>
          <cell r="F782">
            <v>1</v>
          </cell>
          <cell r="G782">
            <v>931</v>
          </cell>
          <cell r="H782">
            <v>839</v>
          </cell>
          <cell r="I782">
            <v>0.12</v>
          </cell>
          <cell r="J782">
            <v>954</v>
          </cell>
          <cell r="K782">
            <v>0.1</v>
          </cell>
          <cell r="L782">
            <v>933</v>
          </cell>
        </row>
        <row r="783">
          <cell r="C783">
            <v>8010072488</v>
          </cell>
          <cell r="D783" t="str">
            <v>螺纹堵头(PPR 配件)印尼绿色 dn32 (1") 联塑</v>
          </cell>
          <cell r="E783" t="str">
            <v>PPR Male Thread plug dn32 (1") Green(INA) - LESSO</v>
          </cell>
          <cell r="F783">
            <v>1</v>
          </cell>
          <cell r="G783">
            <v>1568</v>
          </cell>
          <cell r="H783">
            <v>1413</v>
          </cell>
          <cell r="I783">
            <v>0.12</v>
          </cell>
          <cell r="J783">
            <v>1606</v>
          </cell>
          <cell r="K783">
            <v>0.1</v>
          </cell>
          <cell r="L783">
            <v>1570</v>
          </cell>
        </row>
        <row r="784">
          <cell r="C784">
            <v>8010072726</v>
          </cell>
          <cell r="D784" t="str">
            <v>管帽(PPR 配件)印尼绿色 dn16 联塑</v>
          </cell>
          <cell r="E784" t="str">
            <v>PPR End Cap dn16 Green(INA) - LESSO</v>
          </cell>
          <cell r="F784">
            <v>1</v>
          </cell>
          <cell r="G784">
            <v>514</v>
          </cell>
          <cell r="H784">
            <v>464</v>
          </cell>
          <cell r="I784">
            <v>0.12</v>
          </cell>
          <cell r="J784">
            <v>528</v>
          </cell>
          <cell r="K784">
            <v>0.1</v>
          </cell>
          <cell r="L784">
            <v>516</v>
          </cell>
        </row>
        <row r="785">
          <cell r="C785">
            <v>8010071421</v>
          </cell>
          <cell r="D785" t="str">
            <v>管帽(PPR 配件)印尼绿色 dn20 (1/2") 联塑</v>
          </cell>
          <cell r="E785" t="str">
            <v>PPR Cap dn20 (1/2")- LESSO</v>
          </cell>
          <cell r="F785">
            <v>1</v>
          </cell>
          <cell r="G785">
            <v>833</v>
          </cell>
          <cell r="H785">
            <v>751</v>
          </cell>
          <cell r="I785">
            <v>0.12</v>
          </cell>
          <cell r="J785">
            <v>854</v>
          </cell>
          <cell r="K785">
            <v>0.1</v>
          </cell>
          <cell r="L785">
            <v>835</v>
          </cell>
        </row>
        <row r="786">
          <cell r="C786">
            <v>8010071422</v>
          </cell>
          <cell r="D786" t="str">
            <v>管帽(PPR 配件)印尼绿色 dn25 (3/4") 联塑</v>
          </cell>
          <cell r="E786" t="str">
            <v>PPR Cap dn25 (3/4") Green(INA) - LESSO</v>
          </cell>
          <cell r="F786">
            <v>1</v>
          </cell>
          <cell r="G786">
            <v>1176</v>
          </cell>
          <cell r="H786">
            <v>1060</v>
          </cell>
          <cell r="I786">
            <v>0.12</v>
          </cell>
          <cell r="J786">
            <v>1205</v>
          </cell>
          <cell r="K786">
            <v>0.1</v>
          </cell>
          <cell r="L786">
            <v>1178</v>
          </cell>
        </row>
        <row r="787">
          <cell r="C787">
            <v>8010071423</v>
          </cell>
          <cell r="D787" t="str">
            <v>管帽(PPR 配件)印尼绿色 dn32 (1") 联塑</v>
          </cell>
          <cell r="E787" t="str">
            <v>PPR Cap dn32 (1") Green(INA) - LESSO</v>
          </cell>
          <cell r="F787">
            <v>1</v>
          </cell>
          <cell r="G787">
            <v>1813</v>
          </cell>
          <cell r="H787">
            <v>1634</v>
          </cell>
          <cell r="I787">
            <v>0.12</v>
          </cell>
          <cell r="J787">
            <v>1857</v>
          </cell>
          <cell r="K787">
            <v>0.1</v>
          </cell>
          <cell r="L787">
            <v>1816</v>
          </cell>
        </row>
        <row r="788">
          <cell r="C788">
            <v>8010071424</v>
          </cell>
          <cell r="D788" t="str">
            <v>管帽(PPR 配件)印尼绿色 dn40 (1-1/4") 联塑</v>
          </cell>
          <cell r="E788" t="str">
            <v>PPR Cap dn40 (1-1/4") Green(INA) - LESSO</v>
          </cell>
          <cell r="F788">
            <v>1</v>
          </cell>
          <cell r="G788">
            <v>3675</v>
          </cell>
          <cell r="H788">
            <v>3311</v>
          </cell>
          <cell r="I788">
            <v>0.12</v>
          </cell>
          <cell r="J788">
            <v>3763</v>
          </cell>
          <cell r="K788">
            <v>0.1</v>
          </cell>
          <cell r="L788">
            <v>3679</v>
          </cell>
        </row>
        <row r="789">
          <cell r="C789">
            <v>8010071425</v>
          </cell>
          <cell r="D789" t="str">
            <v>管帽(PPR 配件)印尼绿色 dn50 (1-1/2") 联塑</v>
          </cell>
          <cell r="E789" t="str">
            <v>PPR Cap dn50 (1-1/2")- LESSO</v>
          </cell>
          <cell r="F789">
            <v>1</v>
          </cell>
          <cell r="G789">
            <v>7448</v>
          </cell>
          <cell r="H789">
            <v>6710</v>
          </cell>
          <cell r="I789">
            <v>0.12</v>
          </cell>
          <cell r="J789">
            <v>7625</v>
          </cell>
          <cell r="K789">
            <v>0.1</v>
          </cell>
          <cell r="L789">
            <v>7456</v>
          </cell>
        </row>
        <row r="790">
          <cell r="C790">
            <v>8010071426</v>
          </cell>
          <cell r="D790" t="str">
            <v>管帽(PPR 配件)印尼绿色 dn63 (2") 联塑</v>
          </cell>
          <cell r="E790" t="str">
            <v>PPR Cap dn63 (2") Green(INA) - LESSO</v>
          </cell>
          <cell r="F790">
            <v>1</v>
          </cell>
          <cell r="G790">
            <v>12642</v>
          </cell>
          <cell r="H790">
            <v>11390</v>
          </cell>
          <cell r="I790">
            <v>0.12</v>
          </cell>
          <cell r="J790">
            <v>12944</v>
          </cell>
          <cell r="K790">
            <v>0.1</v>
          </cell>
          <cell r="L790">
            <v>12656</v>
          </cell>
        </row>
        <row r="791">
          <cell r="C791">
            <v>8010071427</v>
          </cell>
          <cell r="D791" t="str">
            <v>管帽(PPR 配件)印尼绿色 dn75 (2-1/2") 联塑</v>
          </cell>
          <cell r="E791" t="str">
            <v>PPR Cap dn75 (2-1/2") Green(INA) - LESSO</v>
          </cell>
          <cell r="F791">
            <v>1</v>
          </cell>
          <cell r="G791">
            <v>23275</v>
          </cell>
          <cell r="H791">
            <v>20969</v>
          </cell>
          <cell r="I791">
            <v>0.12</v>
          </cell>
          <cell r="J791">
            <v>23829</v>
          </cell>
          <cell r="K791">
            <v>0.1</v>
          </cell>
          <cell r="L791">
            <v>23299</v>
          </cell>
        </row>
        <row r="792">
          <cell r="C792">
            <v>8010071428</v>
          </cell>
          <cell r="D792" t="str">
            <v>管帽(PPR 配件)印尼绿色 dn90 (3") 联塑</v>
          </cell>
          <cell r="E792" t="str">
            <v>PPR Cap dn90 (3") Green(INA) - LESSO</v>
          </cell>
          <cell r="F792">
            <v>1</v>
          </cell>
          <cell r="G792">
            <v>27930</v>
          </cell>
          <cell r="H792">
            <v>25163</v>
          </cell>
          <cell r="I792">
            <v>0.12</v>
          </cell>
          <cell r="J792">
            <v>28595</v>
          </cell>
          <cell r="K792">
            <v>0.1</v>
          </cell>
          <cell r="L792">
            <v>27959</v>
          </cell>
        </row>
        <row r="793">
          <cell r="C793">
            <v>8010071429</v>
          </cell>
          <cell r="D793" t="str">
            <v>管帽(PPR 配件)印尼绿色 dn110 (4") 联塑</v>
          </cell>
          <cell r="E793" t="str">
            <v>PPR Cap dn110 (4") Green(INA) - LESSO</v>
          </cell>
          <cell r="F793">
            <v>1</v>
          </cell>
          <cell r="G793">
            <v>72961</v>
          </cell>
          <cell r="H793">
            <v>65731</v>
          </cell>
          <cell r="I793">
            <v>0.12</v>
          </cell>
          <cell r="J793">
            <v>74695</v>
          </cell>
          <cell r="K793">
            <v>0.1</v>
          </cell>
          <cell r="L793">
            <v>73035</v>
          </cell>
        </row>
        <row r="794">
          <cell r="C794">
            <v>8010071736</v>
          </cell>
          <cell r="D794" t="str">
            <v>管帽(PPR 配件)印尼绿色 dn160 (6") 联塑</v>
          </cell>
          <cell r="E794" t="str">
            <v>PPR Cap dn160 (6") Green(INA) - LESSO</v>
          </cell>
          <cell r="F794">
            <v>1</v>
          </cell>
          <cell r="G794">
            <v>201635</v>
          </cell>
          <cell r="H794">
            <v>181654</v>
          </cell>
          <cell r="I794">
            <v>0.12</v>
          </cell>
          <cell r="J794">
            <v>206425</v>
          </cell>
          <cell r="K794">
            <v>0.1</v>
          </cell>
          <cell r="L794">
            <v>201838</v>
          </cell>
        </row>
        <row r="795">
          <cell r="C795">
            <v>8010072497</v>
          </cell>
          <cell r="D795" t="str">
            <v>双联座内螺纹三通(PPR 配件)印尼绿色 dn20x1/2" 联塑</v>
          </cell>
          <cell r="E795" t="str">
            <v>PPR Double Female Tee with Seat dn20x1/2" Green(INA) - LESSO</v>
          </cell>
          <cell r="F795">
            <v>1</v>
          </cell>
          <cell r="G795">
            <v>21033</v>
          </cell>
          <cell r="H795">
            <v>18949</v>
          </cell>
          <cell r="I795">
            <v>0.12</v>
          </cell>
          <cell r="J795">
            <v>21533</v>
          </cell>
          <cell r="K795">
            <v>0.1</v>
          </cell>
          <cell r="L795">
            <v>21055</v>
          </cell>
        </row>
        <row r="796">
          <cell r="C796">
            <v>8010072498</v>
          </cell>
          <cell r="D796" t="str">
            <v>双联座内螺纹三通(PPR 配件)印尼绿色 dn25x1/2" 联塑</v>
          </cell>
          <cell r="E796" t="str">
            <v>PPR Double Female Tee with Seat dn25x1/2" Green(INA) - LESSO</v>
          </cell>
          <cell r="F796">
            <v>1</v>
          </cell>
          <cell r="G796">
            <v>26049</v>
          </cell>
          <cell r="H796">
            <v>23468</v>
          </cell>
          <cell r="I796">
            <v>0.12</v>
          </cell>
          <cell r="J796">
            <v>26669</v>
          </cell>
          <cell r="K796">
            <v>0.1</v>
          </cell>
          <cell r="L796">
            <v>26076</v>
          </cell>
        </row>
        <row r="797">
          <cell r="C797">
            <v>8010072847</v>
          </cell>
          <cell r="D797" t="str">
            <v>双联座内螺纹三通(PPR 配件)印尼绿色 dn32x1/2" 联塑</v>
          </cell>
          <cell r="E797" t="str">
            <v>PPR Double Female Tee With Seat dn32x1/2" Green(INA) - LESSO</v>
          </cell>
          <cell r="F797">
            <v>1</v>
          </cell>
          <cell r="G797">
            <v>28899</v>
          </cell>
          <cell r="H797">
            <v>26036</v>
          </cell>
          <cell r="I797">
            <v>0.12</v>
          </cell>
          <cell r="J797">
            <v>29587</v>
          </cell>
          <cell r="K797">
            <v>0.1</v>
          </cell>
          <cell r="L797">
            <v>28929</v>
          </cell>
        </row>
        <row r="798">
          <cell r="C798">
            <v>8010072499</v>
          </cell>
          <cell r="D798" t="str">
            <v>双联座内螺纹三通(PPR 配件)印尼绿色 dn32x3/4" 联塑</v>
          </cell>
          <cell r="E798" t="str">
            <v>PPR Double Female Tee with Seat dn32x3/4" Green(INA) - LESSO</v>
          </cell>
          <cell r="F798">
            <v>1</v>
          </cell>
          <cell r="G798">
            <v>35283</v>
          </cell>
          <cell r="H798">
            <v>31787</v>
          </cell>
          <cell r="I798">
            <v>0.12</v>
          </cell>
          <cell r="J798">
            <v>36122</v>
          </cell>
          <cell r="K798">
            <v>0.1</v>
          </cell>
          <cell r="L798">
            <v>35319</v>
          </cell>
        </row>
        <row r="799">
          <cell r="C799">
            <v>8010072359</v>
          </cell>
          <cell r="D799" t="str">
            <v>双联座内螺纹弯头(PPR 配件)印尼绿色 dn20x1/2" 联塑</v>
          </cell>
          <cell r="E799" t="str">
            <v>PPR Double Female Thread Elbow With Seat dn20x1/2" Green(INA) - LESSO</v>
          </cell>
          <cell r="F799">
            <v>1</v>
          </cell>
          <cell r="G799">
            <v>21432</v>
          </cell>
          <cell r="H799">
            <v>19309</v>
          </cell>
          <cell r="I799">
            <v>0.12</v>
          </cell>
          <cell r="J799">
            <v>21943</v>
          </cell>
          <cell r="K799">
            <v>0.1</v>
          </cell>
          <cell r="L799">
            <v>21455</v>
          </cell>
        </row>
        <row r="800">
          <cell r="C800">
            <v>8010072360</v>
          </cell>
          <cell r="D800" t="str">
            <v>双联座内螺纹弯头(PPR 配件)印尼绿色 dn25x1/2" 联塑</v>
          </cell>
          <cell r="E800" t="str">
            <v>PPR Double Female Thread Elbow With Seat dn25x1/2" Green(INA) - LESSO</v>
          </cell>
          <cell r="F800">
            <v>1</v>
          </cell>
          <cell r="G800">
            <v>22116</v>
          </cell>
          <cell r="H800">
            <v>19925</v>
          </cell>
          <cell r="I800">
            <v>0.12</v>
          </cell>
          <cell r="J800">
            <v>22643</v>
          </cell>
          <cell r="K800">
            <v>0.1</v>
          </cell>
          <cell r="L800">
            <v>22139</v>
          </cell>
        </row>
        <row r="801">
          <cell r="C801">
            <v>8010072500</v>
          </cell>
          <cell r="D801" t="str">
            <v>双联座内螺纹弯头(PPR 配件)印尼绿色 dn25x3/4" 联塑</v>
          </cell>
          <cell r="E801" t="str">
            <v>PPR Double Female Tee with Seat dn25x3/4" Green(INA) - LESSO</v>
          </cell>
          <cell r="F801">
            <v>1</v>
          </cell>
          <cell r="G801">
            <v>31749</v>
          </cell>
          <cell r="H801">
            <v>28603</v>
          </cell>
          <cell r="I801">
            <v>0.12</v>
          </cell>
          <cell r="J801">
            <v>32504</v>
          </cell>
          <cell r="K801">
            <v>0.1</v>
          </cell>
          <cell r="L801">
            <v>31782</v>
          </cell>
        </row>
        <row r="802">
          <cell r="C802">
            <v>8010072842</v>
          </cell>
          <cell r="D802" t="str">
            <v>双联座内螺纹弯头(PPR 配件)印尼绿色 dn32x3/4" 联塑</v>
          </cell>
          <cell r="E802" t="str">
            <v>PPR Double Female Thread Elbow With Seat dn32x3/4" Green(INA) - LESSO</v>
          </cell>
          <cell r="F802">
            <v>1</v>
          </cell>
          <cell r="G802">
            <v>33858</v>
          </cell>
          <cell r="H802">
            <v>30503</v>
          </cell>
          <cell r="I802">
            <v>0.12</v>
          </cell>
          <cell r="J802">
            <v>34663</v>
          </cell>
          <cell r="K802">
            <v>0.1</v>
          </cell>
          <cell r="L802">
            <v>33893</v>
          </cell>
        </row>
        <row r="803">
          <cell r="C803">
            <v>8010072494</v>
          </cell>
          <cell r="D803" t="str">
            <v>注塑过桥弯(PPR 配件)印尼绿色 dn20 (1/2") 联塑</v>
          </cell>
          <cell r="E803" t="str">
            <v>PPR Bending Pipe dn20 (1/2") Green(INA) - LESSO</v>
          </cell>
          <cell r="F803">
            <v>1</v>
          </cell>
          <cell r="G803">
            <v>4655</v>
          </cell>
          <cell r="H803">
            <v>4194</v>
          </cell>
          <cell r="I803">
            <v>0.12</v>
          </cell>
          <cell r="J803">
            <v>4766</v>
          </cell>
          <cell r="K803">
            <v>0.1</v>
          </cell>
          <cell r="L803">
            <v>4660</v>
          </cell>
        </row>
        <row r="804">
          <cell r="C804">
            <v>8010072495</v>
          </cell>
          <cell r="D804" t="str">
            <v>注塑过桥弯(PPR 配件)印尼绿色 dn25 (3/4") 联塑</v>
          </cell>
          <cell r="E804" t="str">
            <v>PPR Bending Pipe dn25 (3/4") Green(INA) - LESSO</v>
          </cell>
          <cell r="F804">
            <v>1</v>
          </cell>
          <cell r="G804">
            <v>7301</v>
          </cell>
          <cell r="H804">
            <v>6578</v>
          </cell>
          <cell r="I804">
            <v>0.12</v>
          </cell>
          <cell r="J804">
            <v>7475</v>
          </cell>
          <cell r="K804">
            <v>0.1</v>
          </cell>
          <cell r="L804">
            <v>7309</v>
          </cell>
        </row>
        <row r="805">
          <cell r="C805">
            <v>8010072496</v>
          </cell>
          <cell r="D805" t="str">
            <v>注塑过桥弯(PPR 配件)印尼绿色 dn32 (1") 联塑</v>
          </cell>
          <cell r="E805" t="str">
            <v>PPR Bending Pipe dn32 (1") Green(INA) - LESSO</v>
          </cell>
          <cell r="F805">
            <v>1</v>
          </cell>
          <cell r="G805">
            <v>13083</v>
          </cell>
          <cell r="H805">
            <v>11787</v>
          </cell>
          <cell r="I805">
            <v>0.12</v>
          </cell>
          <cell r="J805">
            <v>13395</v>
          </cell>
          <cell r="K805">
            <v>0.1</v>
          </cell>
          <cell r="L805">
            <v>13097</v>
          </cell>
        </row>
        <row r="806">
          <cell r="C806">
            <v>8010073016</v>
          </cell>
          <cell r="D806" t="str">
            <v>注塑过桥弯Ⅱ(PPR 配件)印尼绿色 dn20 (1/2") 联塑</v>
          </cell>
          <cell r="E806" t="str">
            <v>PPR Bending Pipe II dn20 (1/2") Green(INA) - LESSO</v>
          </cell>
          <cell r="F806">
            <v>1</v>
          </cell>
          <cell r="G806">
            <v>1568</v>
          </cell>
          <cell r="H806">
            <v>1413</v>
          </cell>
          <cell r="I806">
            <v>0.12</v>
          </cell>
          <cell r="J806">
            <v>1606</v>
          </cell>
          <cell r="K806">
            <v>0.1</v>
          </cell>
          <cell r="L806">
            <v>1570</v>
          </cell>
        </row>
        <row r="807">
          <cell r="C807">
            <v>8010073789</v>
          </cell>
          <cell r="D807" t="str">
            <v>注塑过桥弯Ⅱ(PPR 配件)印尼绿色 dn25 (3/4") 联塑</v>
          </cell>
          <cell r="E807" t="str">
            <v>PPR Bending Pipe II dn25 (3/4") Green(INA) - LESSO</v>
          </cell>
          <cell r="F807">
            <v>1</v>
          </cell>
          <cell r="G807">
            <v>2842</v>
          </cell>
          <cell r="H807">
            <v>2561</v>
          </cell>
          <cell r="I807">
            <v>0.12</v>
          </cell>
          <cell r="J807">
            <v>2911</v>
          </cell>
          <cell r="K807">
            <v>0.1</v>
          </cell>
          <cell r="L807">
            <v>2846</v>
          </cell>
        </row>
        <row r="808">
          <cell r="C808">
            <v>8010073790</v>
          </cell>
          <cell r="D808" t="str">
            <v>注塑过桥弯Ⅱ(PPR 配件)印尼绿色 dn32 (1") 联塑</v>
          </cell>
          <cell r="E808" t="str">
            <v>PPR Bending Pipe II dn32 (1") Green(INA) - LESSO</v>
          </cell>
          <cell r="F808">
            <v>1</v>
          </cell>
          <cell r="G808">
            <v>9163</v>
          </cell>
          <cell r="H808">
            <v>8255</v>
          </cell>
          <cell r="I808">
            <v>0.12</v>
          </cell>
          <cell r="J808">
            <v>9381</v>
          </cell>
          <cell r="K808">
            <v>0.1</v>
          </cell>
          <cell r="L808">
            <v>9173</v>
          </cell>
        </row>
        <row r="809">
          <cell r="C809">
            <v>8010071351</v>
          </cell>
          <cell r="D809" t="str">
            <v>冷水过桥弯管1.6(PPR 配件)印尼绿色 dn20 (1/2") 联塑</v>
          </cell>
          <cell r="E809" t="str">
            <v>PPR Bending Pipe (for Cold Water) 1.6Mpa dn20 (1/2") Green(INA) - LESSO</v>
          </cell>
          <cell r="F809">
            <v>1</v>
          </cell>
          <cell r="G809">
            <v>3969</v>
          </cell>
          <cell r="H809">
            <v>3576</v>
          </cell>
          <cell r="I809">
            <v>0.12</v>
          </cell>
          <cell r="J809">
            <v>4064</v>
          </cell>
          <cell r="K809">
            <v>0.1</v>
          </cell>
          <cell r="L809">
            <v>3974</v>
          </cell>
        </row>
        <row r="810">
          <cell r="C810">
            <v>8010072489</v>
          </cell>
          <cell r="D810" t="str">
            <v>冷水过桥弯管1.6(PPR 配件)印尼绿色 dn25 (3/4") 联塑</v>
          </cell>
          <cell r="E810" t="str">
            <v>PPR Bending Pipe (for Cold Water) 1.6Mpa dn25 (3/4") Green(INA) - LESSO</v>
          </cell>
          <cell r="F810">
            <v>1</v>
          </cell>
          <cell r="G810">
            <v>5831</v>
          </cell>
          <cell r="H810">
            <v>5254</v>
          </cell>
          <cell r="I810">
            <v>0.12</v>
          </cell>
          <cell r="J810">
            <v>5971</v>
          </cell>
          <cell r="K810">
            <v>0.1</v>
          </cell>
          <cell r="L810">
            <v>5838</v>
          </cell>
        </row>
        <row r="811">
          <cell r="C811">
            <v>8010072490</v>
          </cell>
          <cell r="D811" t="str">
            <v>冷水过桥弯管1.6(PPR 配件)印尼绿色 dn32 (1") 联塑</v>
          </cell>
          <cell r="E811" t="str">
            <v>PPR Bending Pipe (for Cold Water) 1.6Mpa dn32 (1") Green(INA) - LESSO</v>
          </cell>
          <cell r="F811">
            <v>1</v>
          </cell>
          <cell r="G811">
            <v>8869</v>
          </cell>
          <cell r="H811">
            <v>7991</v>
          </cell>
          <cell r="I811">
            <v>0.12</v>
          </cell>
          <cell r="J811">
            <v>9081</v>
          </cell>
          <cell r="K811">
            <v>0.1</v>
          </cell>
          <cell r="L811">
            <v>8879</v>
          </cell>
        </row>
        <row r="812">
          <cell r="C812">
            <v>8010072491</v>
          </cell>
          <cell r="D812" t="str">
            <v>热水过桥弯管2.5(PPR 配件)印尼绿色 dn20 (1/2") 联塑</v>
          </cell>
          <cell r="E812" t="str">
            <v>PPR Bending Pipe (for Hot Water) 2.5Mpa dn20 (1/2") Green(INA) - LESSO</v>
          </cell>
          <cell r="F812">
            <v>1</v>
          </cell>
          <cell r="G812">
            <v>4606</v>
          </cell>
          <cell r="H812">
            <v>4150</v>
          </cell>
          <cell r="I812">
            <v>0.12</v>
          </cell>
          <cell r="J812">
            <v>4716</v>
          </cell>
          <cell r="K812">
            <v>0.1</v>
          </cell>
          <cell r="L812">
            <v>4612</v>
          </cell>
        </row>
        <row r="813">
          <cell r="C813">
            <v>8010072492</v>
          </cell>
          <cell r="D813" t="str">
            <v>热水过桥弯管2.5(PPR 配件)印尼绿色 dn25 (3/4") 联塑</v>
          </cell>
          <cell r="E813" t="str">
            <v>PPR Bending Pipe (for Hot Water) 2.5Mpa dn25 (3/4") Green(INA) - LESSO</v>
          </cell>
          <cell r="F813">
            <v>1</v>
          </cell>
          <cell r="G813">
            <v>6419</v>
          </cell>
          <cell r="H813">
            <v>5783</v>
          </cell>
          <cell r="I813">
            <v>0.12</v>
          </cell>
          <cell r="J813">
            <v>6572</v>
          </cell>
          <cell r="K813">
            <v>0.1</v>
          </cell>
          <cell r="L813">
            <v>6426</v>
          </cell>
        </row>
        <row r="814">
          <cell r="C814">
            <v>8010072493</v>
          </cell>
          <cell r="D814" t="str">
            <v>热水过桥弯管2.5(PPR 配件)印尼绿色 dn32 (1") 联塑</v>
          </cell>
          <cell r="E814" t="str">
            <v>PPR Bending Pipe (for Hot Water) 2.5Mpa dn32 (1") Green(INA) - LESSO</v>
          </cell>
          <cell r="F814">
            <v>1</v>
          </cell>
          <cell r="G814">
            <v>10731</v>
          </cell>
          <cell r="H814">
            <v>9668</v>
          </cell>
          <cell r="I814">
            <v>0.12</v>
          </cell>
          <cell r="J814">
            <v>10987</v>
          </cell>
          <cell r="K814">
            <v>0.1</v>
          </cell>
          <cell r="L814">
            <v>10743</v>
          </cell>
        </row>
        <row r="815">
          <cell r="C815">
            <v>8010072716</v>
          </cell>
          <cell r="D815" t="str">
            <v>管接盖(PPR 配件)印尼绿色 dn16 联塑</v>
          </cell>
          <cell r="E815" t="str">
            <v>PPR Pipe Cover dn16 Green(INA) - LESSO</v>
          </cell>
          <cell r="F815">
            <v>1</v>
          </cell>
          <cell r="G815">
            <v>514</v>
          </cell>
          <cell r="H815">
            <v>464</v>
          </cell>
          <cell r="I815">
            <v>0.12</v>
          </cell>
          <cell r="J815">
            <v>528</v>
          </cell>
          <cell r="K815">
            <v>0.1</v>
          </cell>
          <cell r="L815">
            <v>516</v>
          </cell>
        </row>
        <row r="816">
          <cell r="C816">
            <v>8010072718</v>
          </cell>
          <cell r="D816" t="str">
            <v>管接盖(PPR 配件)印尼绿色 dn20 (1/2") 联塑</v>
          </cell>
          <cell r="E816" t="str">
            <v>PPR Pipe Cover dn20 (1/2") Green(INA) - LESSO</v>
          </cell>
          <cell r="F816">
            <v>1</v>
          </cell>
          <cell r="G816">
            <v>343</v>
          </cell>
          <cell r="H816">
            <v>310</v>
          </cell>
          <cell r="I816">
            <v>0.12</v>
          </cell>
          <cell r="J816">
            <v>353</v>
          </cell>
          <cell r="K816">
            <v>0.1</v>
          </cell>
          <cell r="L816">
            <v>345</v>
          </cell>
        </row>
        <row r="817">
          <cell r="C817">
            <v>8010072719</v>
          </cell>
          <cell r="D817" t="str">
            <v>管接盖(PPR 配件)印尼绿色 dn25 (3/4") 联塑</v>
          </cell>
          <cell r="E817" t="str">
            <v>PPR Pipe Cover dn25 (3/4") Green(INA) - LESSO</v>
          </cell>
          <cell r="F817">
            <v>1</v>
          </cell>
          <cell r="G817">
            <v>441</v>
          </cell>
          <cell r="H817">
            <v>398</v>
          </cell>
          <cell r="I817">
            <v>0.12</v>
          </cell>
          <cell r="J817">
            <v>453</v>
          </cell>
          <cell r="K817">
            <v>0.1</v>
          </cell>
          <cell r="L817">
            <v>443</v>
          </cell>
        </row>
        <row r="818">
          <cell r="C818">
            <v>8010072720</v>
          </cell>
          <cell r="D818" t="str">
            <v>管接盖(PPR 配件)印尼绿色 dn32 (1") 联塑</v>
          </cell>
          <cell r="E818" t="str">
            <v>PPR Pipe Cover dn32 (1") Green(INA) - LESSO</v>
          </cell>
          <cell r="F818">
            <v>1</v>
          </cell>
          <cell r="G818">
            <v>539</v>
          </cell>
          <cell r="H818">
            <v>486</v>
          </cell>
          <cell r="I818">
            <v>0.12</v>
          </cell>
          <cell r="J818">
            <v>553</v>
          </cell>
          <cell r="K818">
            <v>0.1</v>
          </cell>
          <cell r="L818">
            <v>540</v>
          </cell>
        </row>
        <row r="819">
          <cell r="C819">
            <v>8010072721</v>
          </cell>
          <cell r="D819" t="str">
            <v>管接盖(PPR 配件)印尼绿色 dn40 (1-1/4") 联塑</v>
          </cell>
          <cell r="E819" t="str">
            <v>PPR Pipe Cover dn40 (1-1/4") Green(INA) - LESSO</v>
          </cell>
          <cell r="F819">
            <v>1</v>
          </cell>
          <cell r="G819">
            <v>637</v>
          </cell>
          <cell r="H819">
            <v>574</v>
          </cell>
          <cell r="I819">
            <v>0.12</v>
          </cell>
          <cell r="J819">
            <v>653</v>
          </cell>
          <cell r="K819">
            <v>0.1</v>
          </cell>
          <cell r="L819">
            <v>638</v>
          </cell>
        </row>
        <row r="820">
          <cell r="C820">
            <v>8010072722</v>
          </cell>
          <cell r="D820" t="str">
            <v>管接盖(PPR 配件)印尼绿色 dn50 (1-1/2") 联塑</v>
          </cell>
          <cell r="E820" t="str">
            <v>PPR Pipe Cover dn50 (1-1/2") Green(INA) - LESSO</v>
          </cell>
          <cell r="F820">
            <v>1</v>
          </cell>
          <cell r="G820">
            <v>735</v>
          </cell>
          <cell r="H820">
            <v>663</v>
          </cell>
          <cell r="I820">
            <v>0.12</v>
          </cell>
          <cell r="J820">
            <v>754</v>
          </cell>
          <cell r="K820">
            <v>0.1</v>
          </cell>
          <cell r="L820">
            <v>737</v>
          </cell>
        </row>
        <row r="821">
          <cell r="C821">
            <v>8010072723</v>
          </cell>
          <cell r="D821" t="str">
            <v>管接盖(PPR 配件)印尼绿色 dn63 (2") 联塑</v>
          </cell>
          <cell r="E821" t="str">
            <v>PPR Pipe Cover dn63 (2") Green(INA) - LESSO</v>
          </cell>
          <cell r="F821">
            <v>1</v>
          </cell>
          <cell r="G821">
            <v>931</v>
          </cell>
          <cell r="H821">
            <v>839</v>
          </cell>
          <cell r="I821">
            <v>0.12</v>
          </cell>
          <cell r="J821">
            <v>954</v>
          </cell>
          <cell r="K821">
            <v>0.1</v>
          </cell>
          <cell r="L821">
            <v>933</v>
          </cell>
        </row>
        <row r="822">
          <cell r="C822">
            <v>8010072724</v>
          </cell>
          <cell r="D822" t="str">
            <v>管接盖(PPR 配件)印尼绿色 dn75 (2-1/2") 联塑</v>
          </cell>
          <cell r="E822" t="str">
            <v>PPR Pipe Cover dn75 (2-1/2") Green(INA) - LESSO</v>
          </cell>
          <cell r="F822">
            <v>1</v>
          </cell>
          <cell r="G822">
            <v>1029</v>
          </cell>
          <cell r="H822">
            <v>928</v>
          </cell>
          <cell r="I822">
            <v>0.12</v>
          </cell>
          <cell r="J822">
            <v>1055</v>
          </cell>
          <cell r="K822">
            <v>0.1</v>
          </cell>
          <cell r="L822">
            <v>1032</v>
          </cell>
        </row>
        <row r="823">
          <cell r="C823">
            <v>8010072725</v>
          </cell>
          <cell r="D823" t="str">
            <v>管接盖(PPR 配件)印尼绿色 dn90 (3") 联塑</v>
          </cell>
          <cell r="E823" t="str">
            <v>PPR Pipe Cover dn90 (3") Green(INA) - LESSO</v>
          </cell>
          <cell r="F823">
            <v>1</v>
          </cell>
          <cell r="G823">
            <v>1225</v>
          </cell>
          <cell r="H823">
            <v>1104</v>
          </cell>
          <cell r="I823">
            <v>0.12</v>
          </cell>
          <cell r="J823">
            <v>1255</v>
          </cell>
          <cell r="K823">
            <v>0.1</v>
          </cell>
          <cell r="L823">
            <v>1227</v>
          </cell>
        </row>
        <row r="824">
          <cell r="C824">
            <v>8010072715</v>
          </cell>
          <cell r="D824" t="str">
            <v>管接盖(PPR 配件)印尼绿色 dn110 (4") 联塑</v>
          </cell>
          <cell r="E824" t="str">
            <v>PPR Pipe Cover dn110 (4") Green(INA) - LESSO</v>
          </cell>
          <cell r="F824">
            <v>1</v>
          </cell>
          <cell r="G824">
            <v>2450</v>
          </cell>
          <cell r="H824">
            <v>2208</v>
          </cell>
          <cell r="I824">
            <v>0.12</v>
          </cell>
          <cell r="J824">
            <v>2510</v>
          </cell>
          <cell r="K824">
            <v>0.1</v>
          </cell>
          <cell r="L824">
            <v>2454</v>
          </cell>
        </row>
        <row r="825">
          <cell r="C825">
            <v>8010072717</v>
          </cell>
          <cell r="D825" t="str">
            <v>管接盖(PPR 配件)印尼绿色 dn160 (6") 联塑</v>
          </cell>
          <cell r="E825" t="str">
            <v>PPR Pipe Cover dn160 (6") Green(INA) - LESSO</v>
          </cell>
          <cell r="F825">
            <v>1</v>
          </cell>
          <cell r="G825">
            <v>6762</v>
          </cell>
          <cell r="H825">
            <v>6092</v>
          </cell>
          <cell r="I825">
            <v>0.12</v>
          </cell>
          <cell r="J825">
            <v>6923</v>
          </cell>
          <cell r="K825">
            <v>0.1</v>
          </cell>
          <cell r="L825">
            <v>6769</v>
          </cell>
        </row>
        <row r="826">
          <cell r="C826">
            <v>8010071430</v>
          </cell>
          <cell r="D826" t="str">
            <v>管卡(PPR 配件)印尼绿色 dn20 (1/2") 联塑</v>
          </cell>
          <cell r="E826" t="str">
            <v>PPR Pipe Clamp dn20 (1/2") Green(INA) - LESSO</v>
          </cell>
          <cell r="F826">
            <v>1</v>
          </cell>
          <cell r="G826">
            <v>686</v>
          </cell>
          <cell r="H826">
            <v>619</v>
          </cell>
          <cell r="I826">
            <v>0.12</v>
          </cell>
          <cell r="J826">
            <v>704</v>
          </cell>
          <cell r="K826">
            <v>0.1</v>
          </cell>
          <cell r="L826">
            <v>688</v>
          </cell>
        </row>
        <row r="827">
          <cell r="C827">
            <v>8010071431</v>
          </cell>
          <cell r="D827" t="str">
            <v>管卡(PPR 配件)印尼绿色 dn25 (3/4") 联塑</v>
          </cell>
          <cell r="E827" t="str">
            <v>PPR Pipe Clamp dn25 (3/4") Green(INA) - LESSO</v>
          </cell>
          <cell r="F827">
            <v>1</v>
          </cell>
          <cell r="G827">
            <v>784</v>
          </cell>
          <cell r="H827">
            <v>707</v>
          </cell>
          <cell r="I827">
            <v>0.12</v>
          </cell>
          <cell r="J827">
            <v>804</v>
          </cell>
          <cell r="K827">
            <v>0.1</v>
          </cell>
          <cell r="L827">
            <v>786</v>
          </cell>
        </row>
        <row r="828">
          <cell r="C828">
            <v>8010071432</v>
          </cell>
          <cell r="D828" t="str">
            <v>管卡(PPR 配件)印尼绿色 dn32 (1") 联塑</v>
          </cell>
          <cell r="E828" t="str">
            <v>PPR Pipe Clamp dn32 (1") Green(INA) - LESSO</v>
          </cell>
          <cell r="F828">
            <v>1</v>
          </cell>
          <cell r="G828">
            <v>1078</v>
          </cell>
          <cell r="H828">
            <v>972</v>
          </cell>
          <cell r="I828">
            <v>0.12</v>
          </cell>
          <cell r="J828">
            <v>1105</v>
          </cell>
          <cell r="K828">
            <v>0.1</v>
          </cell>
          <cell r="L828">
            <v>1080</v>
          </cell>
        </row>
        <row r="829">
          <cell r="C829">
            <v>8010071433</v>
          </cell>
          <cell r="D829" t="str">
            <v>管卡(PPR 配件)印尼绿色 dn40 (1-1/4") 联塑</v>
          </cell>
          <cell r="E829" t="str">
            <v>PPR Pipe Clamp dn40 (1-1/4") Green(INA) - LESSO</v>
          </cell>
          <cell r="F829">
            <v>1</v>
          </cell>
          <cell r="G829">
            <v>1225</v>
          </cell>
          <cell r="H829">
            <v>1104</v>
          </cell>
          <cell r="I829">
            <v>0.12</v>
          </cell>
          <cell r="J829">
            <v>1255</v>
          </cell>
          <cell r="K829">
            <v>0.1</v>
          </cell>
          <cell r="L829">
            <v>1227</v>
          </cell>
        </row>
        <row r="830">
          <cell r="C830">
            <v>8010071434</v>
          </cell>
          <cell r="D830" t="str">
            <v>管卡(PPR 配件)印尼绿色 dn50 (1-1/2") 联塑</v>
          </cell>
          <cell r="E830" t="str">
            <v>PPR Pipe Clamp dn50 (1-1/2") Green(INA) - LESSO</v>
          </cell>
          <cell r="F830">
            <v>1</v>
          </cell>
          <cell r="G830">
            <v>1421</v>
          </cell>
          <cell r="H830">
            <v>1281</v>
          </cell>
          <cell r="I830">
            <v>0.12</v>
          </cell>
          <cell r="J830">
            <v>1456</v>
          </cell>
          <cell r="K830">
            <v>0.1</v>
          </cell>
          <cell r="L830">
            <v>1424</v>
          </cell>
        </row>
        <row r="831">
          <cell r="C831">
            <v>8010072816</v>
          </cell>
          <cell r="D831" t="str">
            <v>镶拼式管卡(PPR 配件)印尼绿色 dn16 联塑</v>
          </cell>
          <cell r="E831" t="str">
            <v>PPR Assembling Clamp dn16 Green(INA) - LESSO</v>
          </cell>
          <cell r="F831">
            <v>1</v>
          </cell>
          <cell r="G831">
            <v>514</v>
          </cell>
          <cell r="H831">
            <v>464</v>
          </cell>
          <cell r="I831">
            <v>0.12</v>
          </cell>
          <cell r="J831">
            <v>528</v>
          </cell>
          <cell r="K831">
            <v>0.1</v>
          </cell>
          <cell r="L831">
            <v>516</v>
          </cell>
        </row>
        <row r="832">
          <cell r="C832">
            <v>8010072817</v>
          </cell>
          <cell r="D832" t="str">
            <v>镶拼式管卡(PPR 配件)印尼绿色 dn20 (1/2") 联塑</v>
          </cell>
          <cell r="E832" t="str">
            <v>PPR Assembling Clamp dn20 (1/2") Green(INA) - LESSO</v>
          </cell>
          <cell r="F832">
            <v>1</v>
          </cell>
          <cell r="G832">
            <v>637</v>
          </cell>
          <cell r="H832">
            <v>574</v>
          </cell>
          <cell r="I832">
            <v>0.12</v>
          </cell>
          <cell r="J832">
            <v>653</v>
          </cell>
          <cell r="K832">
            <v>0.1</v>
          </cell>
          <cell r="L832">
            <v>638</v>
          </cell>
        </row>
        <row r="833">
          <cell r="C833">
            <v>8010072818</v>
          </cell>
          <cell r="D833" t="str">
            <v>镶拼式管卡(PPR 配件)印尼绿色 dn25 (3/4") 联塑</v>
          </cell>
          <cell r="E833" t="str">
            <v>PPR Assembling Clamp dn25 (3/4") Green(INA) - LESSO</v>
          </cell>
          <cell r="F833">
            <v>1</v>
          </cell>
          <cell r="G833">
            <v>637</v>
          </cell>
          <cell r="H833">
            <v>574</v>
          </cell>
          <cell r="I833">
            <v>0.12</v>
          </cell>
          <cell r="J833">
            <v>653</v>
          </cell>
          <cell r="K833">
            <v>0.1</v>
          </cell>
          <cell r="L833">
            <v>638</v>
          </cell>
        </row>
        <row r="834">
          <cell r="C834">
            <v>8010072819</v>
          </cell>
          <cell r="D834" t="str">
            <v>镶拼式管卡(PPR 配件)印尼绿色 dn32 (1") 联塑</v>
          </cell>
          <cell r="E834" t="str">
            <v>PPR Assembling Clamp dn32 (1") Green(INA) - LESSO</v>
          </cell>
          <cell r="F834">
            <v>1</v>
          </cell>
          <cell r="G834">
            <v>931</v>
          </cell>
          <cell r="H834">
            <v>839</v>
          </cell>
          <cell r="I834">
            <v>0.12</v>
          </cell>
          <cell r="J834">
            <v>954</v>
          </cell>
          <cell r="K834">
            <v>0.1</v>
          </cell>
          <cell r="L834">
            <v>933</v>
          </cell>
        </row>
        <row r="835">
          <cell r="C835">
            <v>8010072826</v>
          </cell>
          <cell r="D835" t="str">
            <v>U型管卡(PPR 配件)印尼绿色 dn25 (3/4") 联塑</v>
          </cell>
          <cell r="E835" t="str">
            <v>PPR U Clamp dn25 (3/4") Green(INA) - LESSO</v>
          </cell>
          <cell r="F835">
            <v>1</v>
          </cell>
          <cell r="G835">
            <v>637</v>
          </cell>
          <cell r="H835">
            <v>574</v>
          </cell>
          <cell r="I835">
            <v>0.12</v>
          </cell>
          <cell r="J835">
            <v>653</v>
          </cell>
          <cell r="K835">
            <v>0.1</v>
          </cell>
          <cell r="L835">
            <v>638</v>
          </cell>
        </row>
        <row r="836">
          <cell r="C836">
            <v>8010072827</v>
          </cell>
          <cell r="D836" t="str">
            <v>U型管卡(PPR 配件)印尼绿色 dn32 (1") 联塑</v>
          </cell>
          <cell r="E836" t="str">
            <v>PPR U Clamp dn32 (1") Green(INA) - LESSO</v>
          </cell>
          <cell r="F836">
            <v>1</v>
          </cell>
          <cell r="G836">
            <v>686</v>
          </cell>
          <cell r="H836">
            <v>619</v>
          </cell>
          <cell r="I836">
            <v>0.12</v>
          </cell>
          <cell r="J836">
            <v>704</v>
          </cell>
          <cell r="K836">
            <v>0.1</v>
          </cell>
          <cell r="L836">
            <v>688</v>
          </cell>
        </row>
        <row r="837">
          <cell r="C837">
            <v>8010072828</v>
          </cell>
          <cell r="D837" t="str">
            <v>U型管卡(PPR 配件)印尼绿色 dn40 (1-1/4") 联塑</v>
          </cell>
          <cell r="E837" t="str">
            <v>PPR U Clamp dn40 (1-1/4") Green(INA) - LESSO</v>
          </cell>
          <cell r="F837">
            <v>1</v>
          </cell>
          <cell r="G837">
            <v>833</v>
          </cell>
          <cell r="H837">
            <v>751</v>
          </cell>
          <cell r="I837">
            <v>0.12</v>
          </cell>
          <cell r="J837">
            <v>854</v>
          </cell>
          <cell r="K837">
            <v>0.1</v>
          </cell>
          <cell r="L837">
            <v>835</v>
          </cell>
        </row>
        <row r="838">
          <cell r="C838">
            <v>8010072836</v>
          </cell>
          <cell r="D838" t="str">
            <v>U型管卡(PPR 配件)印尼绿色 dn50 (1-1/2") 联塑</v>
          </cell>
          <cell r="E838" t="str">
            <v>PPR U Clamp dn50 Green(INA) - LESSO</v>
          </cell>
          <cell r="F838">
            <v>1</v>
          </cell>
          <cell r="G838">
            <v>931</v>
          </cell>
          <cell r="H838">
            <v>839</v>
          </cell>
          <cell r="I838">
            <v>0.12</v>
          </cell>
          <cell r="J838">
            <v>954</v>
          </cell>
          <cell r="K838">
            <v>0.1</v>
          </cell>
          <cell r="L838">
            <v>933</v>
          </cell>
        </row>
        <row r="839">
          <cell r="C839">
            <v>8010072810</v>
          </cell>
          <cell r="D839" t="str">
            <v>Ⅰ型管卡(不配爆破螺丝)(PPR 配件)印尼绿色 dn20 (1/2") 联塑</v>
          </cell>
          <cell r="E839" t="str">
            <v>PPR Pipe Clamp I (without Screw) dn20 (1/2") Green(INA) - LESSO</v>
          </cell>
          <cell r="F839">
            <v>1</v>
          </cell>
          <cell r="G839">
            <v>1225</v>
          </cell>
          <cell r="H839">
            <v>1104</v>
          </cell>
          <cell r="I839">
            <v>0.12</v>
          </cell>
          <cell r="J839">
            <v>1255</v>
          </cell>
          <cell r="K839">
            <v>0.1</v>
          </cell>
          <cell r="L839">
            <v>1227</v>
          </cell>
        </row>
        <row r="840">
          <cell r="C840">
            <v>8010072812</v>
          </cell>
          <cell r="D840" t="str">
            <v>Ⅰ型管卡(不配爆破螺丝)(PPR 配件)印尼绿色 dn25 (3/4") 联塑</v>
          </cell>
          <cell r="E840" t="str">
            <v>PPR Pipe Clamp I (without Screw) dn25 (3/4") Green(INA) - LESSO</v>
          </cell>
          <cell r="F840">
            <v>1</v>
          </cell>
          <cell r="G840">
            <v>1225</v>
          </cell>
          <cell r="H840">
            <v>1104</v>
          </cell>
          <cell r="I840">
            <v>0.12</v>
          </cell>
          <cell r="J840">
            <v>1255</v>
          </cell>
          <cell r="K840">
            <v>0.1</v>
          </cell>
          <cell r="L840">
            <v>1227</v>
          </cell>
        </row>
        <row r="841">
          <cell r="C841">
            <v>8010072789</v>
          </cell>
          <cell r="D841" t="str">
            <v>Ⅰ型管卡(不配爆破螺丝)(PPR 配件)印尼绿色 dn32 (1") 联塑</v>
          </cell>
          <cell r="E841" t="str">
            <v>PPR Pipe Clamp I (without Screw) dn32 (1") Green(INA) - LESSO</v>
          </cell>
          <cell r="F841">
            <v>1</v>
          </cell>
          <cell r="G841">
            <v>1225</v>
          </cell>
          <cell r="H841">
            <v>1104</v>
          </cell>
          <cell r="I841">
            <v>0.12</v>
          </cell>
          <cell r="J841">
            <v>1255</v>
          </cell>
          <cell r="K841">
            <v>0.1</v>
          </cell>
          <cell r="L841">
            <v>1227</v>
          </cell>
        </row>
        <row r="842">
          <cell r="C842">
            <v>8010072791</v>
          </cell>
          <cell r="D842" t="str">
            <v>Ⅰ型管卡(不配爆破螺丝)(PPR 配件)印尼绿色 dn40 (1-1/4") 联塑</v>
          </cell>
          <cell r="E842" t="str">
            <v>PPR Pipe Clamp I (without Screw) dn40 (1-1/4") Green(INA) - LESSO</v>
          </cell>
          <cell r="F842">
            <v>1</v>
          </cell>
          <cell r="G842">
            <v>1568</v>
          </cell>
          <cell r="H842">
            <v>1413</v>
          </cell>
          <cell r="I842">
            <v>0.12</v>
          </cell>
          <cell r="J842">
            <v>1606</v>
          </cell>
          <cell r="K842">
            <v>0.1</v>
          </cell>
          <cell r="L842">
            <v>1570</v>
          </cell>
        </row>
        <row r="843">
          <cell r="C843">
            <v>8010072793</v>
          </cell>
          <cell r="D843" t="str">
            <v>Ⅰ型管卡(不配爆破螺丝)(PPR 配件)印尼绿色 dn50 (1-1/2") 联塑</v>
          </cell>
          <cell r="E843" t="str">
            <v>PPR Pipe Clamp I (without Screw) dn50 (1-1/2") Green(INA) - LESSO</v>
          </cell>
          <cell r="F843">
            <v>1</v>
          </cell>
          <cell r="G843">
            <v>2156</v>
          </cell>
          <cell r="H843">
            <v>1943</v>
          </cell>
          <cell r="I843">
            <v>0.12</v>
          </cell>
          <cell r="J843">
            <v>2208</v>
          </cell>
          <cell r="K843">
            <v>0.1</v>
          </cell>
          <cell r="L843">
            <v>2159</v>
          </cell>
        </row>
        <row r="844">
          <cell r="C844">
            <v>8010072795</v>
          </cell>
          <cell r="D844" t="str">
            <v>Ⅰ型管卡(不配爆破螺丝)(PPR 配件)印尼绿色 dn63 (2") 联塑</v>
          </cell>
          <cell r="E844" t="str">
            <v>PPR Pipe Clamp I (without Screw) dn63 (2") Green(INA) - LESSO</v>
          </cell>
          <cell r="F844">
            <v>1</v>
          </cell>
          <cell r="G844">
            <v>2744</v>
          </cell>
          <cell r="H844">
            <v>2473</v>
          </cell>
          <cell r="I844">
            <v>0.12</v>
          </cell>
          <cell r="J844">
            <v>2811</v>
          </cell>
          <cell r="K844">
            <v>0.1</v>
          </cell>
          <cell r="L844">
            <v>2748</v>
          </cell>
        </row>
        <row r="845">
          <cell r="C845">
            <v>8010072797</v>
          </cell>
          <cell r="D845" t="str">
            <v>Ⅰ型管卡(不配爆破螺丝)(PPR 配件)印尼绿色 dn75 (2-1/2") 联塑</v>
          </cell>
          <cell r="E845" t="str">
            <v>PPR Pipe Clamp I (without Screw) dn75 (2-1/2") Green(INA) - LESSO</v>
          </cell>
          <cell r="F845">
            <v>1</v>
          </cell>
          <cell r="G845">
            <v>3381</v>
          </cell>
          <cell r="H845">
            <v>3046</v>
          </cell>
          <cell r="I845">
            <v>0.12</v>
          </cell>
          <cell r="J845">
            <v>3462</v>
          </cell>
          <cell r="K845">
            <v>0.1</v>
          </cell>
          <cell r="L845">
            <v>3385</v>
          </cell>
        </row>
        <row r="846">
          <cell r="C846">
            <v>8010072799</v>
          </cell>
          <cell r="D846" t="str">
            <v>Ⅰ型管卡(不配爆破螺丝)(PPR 配件)印尼绿色 dn90 (3") 联塑</v>
          </cell>
          <cell r="E846" t="str">
            <v>PPR Pipe Clamp I (without Screw) dn90 (3") Green(INA) - LESSO</v>
          </cell>
          <cell r="F846">
            <v>1</v>
          </cell>
          <cell r="G846">
            <v>3675</v>
          </cell>
          <cell r="H846">
            <v>3311</v>
          </cell>
          <cell r="I846">
            <v>0.12</v>
          </cell>
          <cell r="J846">
            <v>3763</v>
          </cell>
          <cell r="K846">
            <v>0.1</v>
          </cell>
          <cell r="L846">
            <v>3679</v>
          </cell>
        </row>
        <row r="847">
          <cell r="C847">
            <v>8010072814</v>
          </cell>
          <cell r="D847" t="str">
            <v>Ⅰ型管卡(不配爆破螺丝)(PPR 配件)印尼绿色 dn110 (4") 联塑</v>
          </cell>
          <cell r="E847" t="str">
            <v>PPR Pipe Clamp I (without Screw) dn110 (4") Green(INA) - LESSO</v>
          </cell>
          <cell r="F847">
            <v>1</v>
          </cell>
          <cell r="G847">
            <v>5831</v>
          </cell>
          <cell r="H847">
            <v>5254</v>
          </cell>
          <cell r="I847">
            <v>0.12</v>
          </cell>
          <cell r="J847">
            <v>5971</v>
          </cell>
          <cell r="K847">
            <v>0.1</v>
          </cell>
          <cell r="L847">
            <v>5838</v>
          </cell>
        </row>
        <row r="848">
          <cell r="C848">
            <v>8010072811</v>
          </cell>
          <cell r="D848" t="str">
            <v>Ⅰ型管卡(配爆破螺丝)(PPR 配件)印尼绿色 dn20 (1/2") 联塑</v>
          </cell>
          <cell r="E848" t="str">
            <v>PPR Pipe Clamp I (Screw) dn20 (1/2") Green(INA) - LESSO</v>
          </cell>
          <cell r="F848">
            <v>1</v>
          </cell>
          <cell r="G848">
            <v>2450</v>
          </cell>
          <cell r="H848">
            <v>2208</v>
          </cell>
          <cell r="I848">
            <v>0.12</v>
          </cell>
          <cell r="J848">
            <v>2510</v>
          </cell>
          <cell r="K848">
            <v>0.1</v>
          </cell>
          <cell r="L848">
            <v>2454</v>
          </cell>
        </row>
        <row r="849">
          <cell r="C849">
            <v>8010072790</v>
          </cell>
          <cell r="D849" t="str">
            <v>Ⅰ型管卡(配爆破螺丝)(PPR 配件)印尼绿色 dn32 (1") 联塑</v>
          </cell>
          <cell r="E849" t="str">
            <v>PPR Pipe Clamp I (Screw) dn32 (1") Green(INA) - LESSO</v>
          </cell>
          <cell r="F849">
            <v>1</v>
          </cell>
          <cell r="G849">
            <v>2744</v>
          </cell>
          <cell r="H849">
            <v>2473</v>
          </cell>
          <cell r="I849">
            <v>0.12</v>
          </cell>
          <cell r="J849">
            <v>2811</v>
          </cell>
          <cell r="K849">
            <v>0.1</v>
          </cell>
          <cell r="L849">
            <v>2748</v>
          </cell>
        </row>
        <row r="850">
          <cell r="C850">
            <v>8010072792</v>
          </cell>
          <cell r="D850" t="str">
            <v>Ⅰ型管卡(配爆破螺丝)(PPR 配件)印尼绿色 dn40 (1-1/4") 联塑</v>
          </cell>
          <cell r="E850" t="str">
            <v>PPR Pipe Clamp I (Screw) dn40 (1-1/4") Green(INA) - LESSO</v>
          </cell>
          <cell r="F850">
            <v>1</v>
          </cell>
          <cell r="G850">
            <v>2744</v>
          </cell>
          <cell r="H850">
            <v>2473</v>
          </cell>
          <cell r="I850">
            <v>0.12</v>
          </cell>
          <cell r="J850">
            <v>2811</v>
          </cell>
          <cell r="K850">
            <v>0.1</v>
          </cell>
          <cell r="L850">
            <v>2748</v>
          </cell>
        </row>
        <row r="851">
          <cell r="C851">
            <v>8010072794</v>
          </cell>
          <cell r="D851" t="str">
            <v>Ⅰ型管卡(配爆破螺丝)(PPR 配件)印尼绿色 dn50 (1-1/2") 联塑</v>
          </cell>
          <cell r="E851" t="str">
            <v>PPR Pipe Clamp I (Screw) dn50 (1-1/2") Green(INA) - LESSO</v>
          </cell>
          <cell r="F851">
            <v>1</v>
          </cell>
          <cell r="G851">
            <v>4900</v>
          </cell>
          <cell r="H851">
            <v>4415</v>
          </cell>
          <cell r="I851">
            <v>0.12</v>
          </cell>
          <cell r="J851">
            <v>5018</v>
          </cell>
          <cell r="K851">
            <v>0.1</v>
          </cell>
          <cell r="L851">
            <v>4906</v>
          </cell>
        </row>
        <row r="852">
          <cell r="C852">
            <v>8010072796</v>
          </cell>
          <cell r="D852" t="str">
            <v>Ⅰ型管卡(配爆破螺丝)(PPR 配件)印尼绿色 dn63 (2") 联塑</v>
          </cell>
          <cell r="E852" t="str">
            <v>PPR Pipe Clamp I (Screw) dn63 (2") Green(INA) - LESSO</v>
          </cell>
          <cell r="F852">
            <v>1</v>
          </cell>
          <cell r="G852">
            <v>5537</v>
          </cell>
          <cell r="H852">
            <v>4989</v>
          </cell>
          <cell r="I852">
            <v>0.12</v>
          </cell>
          <cell r="J852">
            <v>5670</v>
          </cell>
          <cell r="K852">
            <v>0.1</v>
          </cell>
          <cell r="L852">
            <v>5544</v>
          </cell>
        </row>
        <row r="853">
          <cell r="C853">
            <v>8010072798</v>
          </cell>
          <cell r="D853" t="str">
            <v>Ⅰ型管卡(配爆破螺丝)(PPR 配件)印尼绿色 dn75 (2-1/2") 联塑</v>
          </cell>
          <cell r="E853" t="str">
            <v>PPR Pipe Clamp I (Screw) dn75 (2-1/2") Green(INA) - LESSO</v>
          </cell>
          <cell r="F853">
            <v>1</v>
          </cell>
          <cell r="G853">
            <v>6419</v>
          </cell>
          <cell r="H853">
            <v>5783</v>
          </cell>
          <cell r="I853">
            <v>0.12</v>
          </cell>
          <cell r="J853">
            <v>6572</v>
          </cell>
          <cell r="K853">
            <v>0.1</v>
          </cell>
          <cell r="L853">
            <v>6426</v>
          </cell>
        </row>
        <row r="854">
          <cell r="C854">
            <v>8010072800</v>
          </cell>
          <cell r="D854" t="str">
            <v>Ⅰ型管卡(配爆破螺丝)(PPR 配件)印尼绿色 dn90 (3") 联塑</v>
          </cell>
          <cell r="E854" t="str">
            <v>PPR Pipe Clamp I (Screw) dn90 (3") Green(INA) - LESSO</v>
          </cell>
          <cell r="F854">
            <v>1</v>
          </cell>
          <cell r="G854">
            <v>7056</v>
          </cell>
          <cell r="H854">
            <v>6357</v>
          </cell>
          <cell r="I854">
            <v>0.12</v>
          </cell>
          <cell r="J854">
            <v>7224</v>
          </cell>
          <cell r="K854">
            <v>0.1</v>
          </cell>
          <cell r="L854">
            <v>7064</v>
          </cell>
        </row>
        <row r="855">
          <cell r="C855">
            <v>8010072815</v>
          </cell>
          <cell r="D855" t="str">
            <v>Ⅰ型管卡(配爆破螺丝)(PPR 配件)印尼绿色 dn110 (4") 联塑</v>
          </cell>
          <cell r="E855" t="str">
            <v>PPR Pipe Clamp I (Screw) dn110 (4") Green(INA) - LESSO</v>
          </cell>
          <cell r="F855">
            <v>1</v>
          </cell>
          <cell r="G855">
            <v>9506</v>
          </cell>
          <cell r="H855">
            <v>8564</v>
          </cell>
          <cell r="I855">
            <v>0.12</v>
          </cell>
          <cell r="J855">
            <v>9732</v>
          </cell>
          <cell r="K855">
            <v>0.1</v>
          </cell>
          <cell r="L855">
            <v>9516</v>
          </cell>
        </row>
        <row r="856">
          <cell r="C856">
            <v>8010072813</v>
          </cell>
          <cell r="D856" t="str">
            <v>Ⅰ型管卡(配尖咀螺丝)(PPR 配件)印尼绿色 dn25 (3/4") 联塑</v>
          </cell>
          <cell r="E856" t="str">
            <v>PPR Pipe Clamp I (Tusk Screw) dn25 (3/4") Green(INA) - LESSO</v>
          </cell>
          <cell r="F856">
            <v>1</v>
          </cell>
          <cell r="G856">
            <v>1267</v>
          </cell>
          <cell r="H856">
            <v>1142</v>
          </cell>
          <cell r="I856">
            <v>0.12</v>
          </cell>
          <cell r="J856">
            <v>1298</v>
          </cell>
          <cell r="K856">
            <v>0.1</v>
          </cell>
          <cell r="L856">
            <v>1269</v>
          </cell>
        </row>
        <row r="857">
          <cell r="C857">
            <v>8010072362</v>
          </cell>
          <cell r="D857" t="str">
            <v>外螺纹弯头带座(PPR 配件)印尼绿色 dn20x1/2" 联塑</v>
          </cell>
          <cell r="E857" t="str">
            <v>PPR Male Thread Elbow with Seat dn20x1/2" Green(INA) - LESSO</v>
          </cell>
          <cell r="F857">
            <v>1</v>
          </cell>
          <cell r="G857">
            <v>16929</v>
          </cell>
          <cell r="H857">
            <v>15252</v>
          </cell>
          <cell r="I857">
            <v>0.12</v>
          </cell>
          <cell r="J857">
            <v>17332</v>
          </cell>
          <cell r="K857">
            <v>0.1</v>
          </cell>
          <cell r="L857">
            <v>16947</v>
          </cell>
        </row>
        <row r="858">
          <cell r="C858">
            <v>8010072751</v>
          </cell>
          <cell r="D858" t="str">
            <v>外螺纹弯头带座(PPR 配件)印尼绿色 dn20x3/4" 联塑</v>
          </cell>
          <cell r="E858" t="str">
            <v>PPR Male Thread Elbow with Seat dn20x3/4" Green(INA) - LESSO</v>
          </cell>
          <cell r="F858">
            <v>1</v>
          </cell>
          <cell r="G858">
            <v>21033</v>
          </cell>
          <cell r="H858">
            <v>18949</v>
          </cell>
          <cell r="I858">
            <v>0.12</v>
          </cell>
          <cell r="J858">
            <v>21533</v>
          </cell>
          <cell r="K858">
            <v>0.1</v>
          </cell>
          <cell r="L858">
            <v>21055</v>
          </cell>
        </row>
        <row r="859">
          <cell r="C859">
            <v>8010072752</v>
          </cell>
          <cell r="D859" t="str">
            <v>外螺纹弯头带座(PPR 配件)印尼绿色 dn25x1/2" 联塑</v>
          </cell>
          <cell r="E859" t="str">
            <v>PPR Male Thread Elbow with Seat dn25x1/2" Green(INA) - LESSO</v>
          </cell>
          <cell r="F859">
            <v>1</v>
          </cell>
          <cell r="G859">
            <v>17613</v>
          </cell>
          <cell r="H859">
            <v>15868</v>
          </cell>
          <cell r="I859">
            <v>0.12</v>
          </cell>
          <cell r="J859">
            <v>18032</v>
          </cell>
          <cell r="K859">
            <v>0.1</v>
          </cell>
          <cell r="L859">
            <v>17632</v>
          </cell>
        </row>
        <row r="860">
          <cell r="C860">
            <v>8010072753</v>
          </cell>
          <cell r="D860" t="str">
            <v>外螺纹弯头带座(PPR 配件)印尼绿色 dn25x3/4" 联塑</v>
          </cell>
          <cell r="E860" t="str">
            <v>PPR Male Thread Elbow with Seat dn25x3/4" Green(INA) - LESSO</v>
          </cell>
          <cell r="F860">
            <v>1</v>
          </cell>
          <cell r="G860">
            <v>22116</v>
          </cell>
          <cell r="H860">
            <v>19925</v>
          </cell>
          <cell r="I860">
            <v>0.12</v>
          </cell>
          <cell r="J860">
            <v>22643</v>
          </cell>
          <cell r="K860">
            <v>0.1</v>
          </cell>
          <cell r="L860">
            <v>22139</v>
          </cell>
        </row>
        <row r="861">
          <cell r="C861">
            <v>8010071337</v>
          </cell>
          <cell r="D861" t="str">
            <v>内螺纹弯头带座(PPR 配件)印尼绿色 dn20x1/2" 联塑</v>
          </cell>
          <cell r="E861" t="str">
            <v>PPR Female Thread Elbow with Seat dn20x1/2" Green(INA) - LESSO</v>
          </cell>
          <cell r="F861">
            <v>1</v>
          </cell>
          <cell r="G861">
            <v>9519</v>
          </cell>
          <cell r="H861">
            <v>8576</v>
          </cell>
          <cell r="I861">
            <v>0.12</v>
          </cell>
          <cell r="J861">
            <v>9746</v>
          </cell>
          <cell r="K861">
            <v>0.1</v>
          </cell>
          <cell r="L861">
            <v>9529</v>
          </cell>
        </row>
        <row r="862">
          <cell r="C862">
            <v>8010072745</v>
          </cell>
          <cell r="D862" t="str">
            <v>内螺纹弯头带座(PPR 配件)印尼绿色 dn20x3/4" 联塑</v>
          </cell>
          <cell r="E862" t="str">
            <v>PPR Female Thread Elbow with Seat dn20x3/4" Green(INA) - LESSO</v>
          </cell>
          <cell r="F862">
            <v>1</v>
          </cell>
          <cell r="G862">
            <v>15618</v>
          </cell>
          <cell r="H862">
            <v>14071</v>
          </cell>
          <cell r="I862">
            <v>0.12</v>
          </cell>
          <cell r="J862">
            <v>15990</v>
          </cell>
          <cell r="K862">
            <v>0.1</v>
          </cell>
          <cell r="L862">
            <v>15635</v>
          </cell>
        </row>
        <row r="863">
          <cell r="C863">
            <v>8010072746</v>
          </cell>
          <cell r="D863" t="str">
            <v>内螺纹弯头带座(PPR 配件)印尼绿色 dn25x1/2" 联塑</v>
          </cell>
          <cell r="E863" t="str">
            <v>PPR Female Thread Elbow with Seat dn25x1/2" Green(INA) - LESSO</v>
          </cell>
          <cell r="F863">
            <v>1</v>
          </cell>
          <cell r="G863">
            <v>12027</v>
          </cell>
          <cell r="H863">
            <v>10836</v>
          </cell>
          <cell r="I863">
            <v>0.12</v>
          </cell>
          <cell r="J863">
            <v>12314</v>
          </cell>
          <cell r="K863">
            <v>0.1</v>
          </cell>
          <cell r="L863">
            <v>12040</v>
          </cell>
        </row>
        <row r="864">
          <cell r="C864">
            <v>8010072747</v>
          </cell>
          <cell r="D864" t="str">
            <v>内螺纹弯头带座(PPR 配件)印尼绿色 dn25x3/4" 联塑</v>
          </cell>
          <cell r="E864" t="str">
            <v>PPR Female Thread Elbow with Seat dn25x3/4" Green(INA) - LESSO</v>
          </cell>
          <cell r="F864">
            <v>1</v>
          </cell>
          <cell r="G864">
            <v>14820</v>
          </cell>
          <cell r="H864">
            <v>13352</v>
          </cell>
          <cell r="I864">
            <v>0.12</v>
          </cell>
          <cell r="J864">
            <v>15173</v>
          </cell>
          <cell r="K864">
            <v>0.1</v>
          </cell>
          <cell r="L864">
            <v>14836</v>
          </cell>
        </row>
        <row r="865">
          <cell r="C865">
            <v>8010072523</v>
          </cell>
          <cell r="D865" t="str">
            <v>暗阀(PPR 配件)印尼绿色 dn20 (1/2") 联塑</v>
          </cell>
          <cell r="E865" t="str">
            <v>PPR conncealed Valve dn20 (1/2") Green(INA) - LESSO</v>
          </cell>
          <cell r="F865">
            <v>1</v>
          </cell>
          <cell r="G865">
            <v>152589</v>
          </cell>
          <cell r="H865">
            <v>137468</v>
          </cell>
          <cell r="I865">
            <v>0.12</v>
          </cell>
          <cell r="J865">
            <v>156214</v>
          </cell>
          <cell r="K865">
            <v>0.1</v>
          </cell>
          <cell r="L865">
            <v>152743</v>
          </cell>
        </row>
        <row r="866">
          <cell r="C866">
            <v>8010072524</v>
          </cell>
          <cell r="D866" t="str">
            <v>暗阀(PPR 配件)印尼绿色 dn25 (3/4") 联塑</v>
          </cell>
          <cell r="E866" t="str">
            <v>PPR conncealed Valve dn25 (3/4") Green(INA) - LESSO</v>
          </cell>
          <cell r="F866">
            <v>1</v>
          </cell>
          <cell r="G866">
            <v>152931</v>
          </cell>
          <cell r="H866">
            <v>137776</v>
          </cell>
          <cell r="I866">
            <v>0.12</v>
          </cell>
          <cell r="J866">
            <v>156564</v>
          </cell>
          <cell r="K866">
            <v>0.1</v>
          </cell>
          <cell r="L866">
            <v>153085</v>
          </cell>
        </row>
        <row r="867">
          <cell r="C867">
            <v>8010070922</v>
          </cell>
          <cell r="D867" t="str">
            <v>焊接机1000W dn20-63(PPR 配件) 联塑</v>
          </cell>
          <cell r="E867" t="str">
            <v>PPR Welding Machine dn20-63 1000W - LESSO</v>
          </cell>
          <cell r="F867">
            <v>1</v>
          </cell>
          <cell r="G867">
            <v>901943</v>
          </cell>
          <cell r="H867">
            <v>812562</v>
          </cell>
          <cell r="I867">
            <v>0.12</v>
          </cell>
          <cell r="J867">
            <v>923366</v>
          </cell>
          <cell r="K867">
            <v>0.1</v>
          </cell>
          <cell r="L867">
            <v>902847</v>
          </cell>
        </row>
        <row r="868">
          <cell r="C868">
            <v>8010070923</v>
          </cell>
          <cell r="D868" t="str">
            <v>焊接机1600Wdn75-110(PPR 配件) 联塑</v>
          </cell>
          <cell r="E868" t="str">
            <v>PPR Welding Machine dn75-110 1600W - LESSO</v>
          </cell>
          <cell r="F868">
            <v>1</v>
          </cell>
          <cell r="G868">
            <v>1745625</v>
          </cell>
          <cell r="H868">
            <v>1572636</v>
          </cell>
          <cell r="I868">
            <v>0.12</v>
          </cell>
          <cell r="J868">
            <v>1787087</v>
          </cell>
          <cell r="K868">
            <v>0.1</v>
          </cell>
          <cell r="L868">
            <v>1747374</v>
          </cell>
        </row>
        <row r="869">
          <cell r="C869">
            <v>8010070924</v>
          </cell>
          <cell r="D869" t="str">
            <v>焊接机2500W dn160(PPR 配件) 联塑</v>
          </cell>
          <cell r="E869" t="str">
            <v>PPR Welding Machine dn160 2500W - LESSO</v>
          </cell>
          <cell r="F869">
            <v>1</v>
          </cell>
          <cell r="G869">
            <v>3200312</v>
          </cell>
          <cell r="H869">
            <v>2883164</v>
          </cell>
          <cell r="I869">
            <v>0.12</v>
          </cell>
          <cell r="J869">
            <v>3276323</v>
          </cell>
          <cell r="K869">
            <v>0.1</v>
          </cell>
          <cell r="L869">
            <v>3203516</v>
          </cell>
        </row>
        <row r="870">
          <cell r="C870">
            <v>8010070966</v>
          </cell>
          <cell r="D870" t="str">
            <v>剪刀(PPR 配件) dn16-32 联塑</v>
          </cell>
          <cell r="E870" t="str">
            <v>PPR Cutter dn16-32 - LESSO</v>
          </cell>
          <cell r="F870">
            <v>1</v>
          </cell>
          <cell r="G870">
            <v>117845</v>
          </cell>
          <cell r="H870">
            <v>106167</v>
          </cell>
          <cell r="I870">
            <v>0.12</v>
          </cell>
          <cell r="J870">
            <v>120645</v>
          </cell>
          <cell r="K870">
            <v>0.1</v>
          </cell>
          <cell r="L870">
            <v>117964</v>
          </cell>
        </row>
        <row r="871">
          <cell r="C871">
            <v>8030050055</v>
          </cell>
          <cell r="D871" t="str">
            <v>PVC电线管(B管)白色 dn16 2.9M/根 联塑</v>
          </cell>
          <cell r="E871" t="str">
            <v>PVC Conduit (grade B) dn16 2.9M/pc White - LESSO</v>
          </cell>
          <cell r="F871">
            <v>1</v>
          </cell>
          <cell r="G871">
            <v>7020</v>
          </cell>
          <cell r="H871">
            <v>6325</v>
          </cell>
          <cell r="I871">
            <v>0.08</v>
          </cell>
          <cell r="J871">
            <v>6875</v>
          </cell>
          <cell r="K871">
            <v>0.06</v>
          </cell>
          <cell r="L871">
            <v>6729</v>
          </cell>
        </row>
        <row r="872">
          <cell r="C872">
            <v>8030050068</v>
          </cell>
          <cell r="D872" t="str">
            <v>PVC电线管(B管)白色 dn20 2.9M/根 联塑</v>
          </cell>
          <cell r="E872" t="str">
            <v>PVC Conduit (grade B) dn20 2.9M/pc White - LESSO</v>
          </cell>
          <cell r="F872">
            <v>1</v>
          </cell>
          <cell r="G872">
            <v>6440</v>
          </cell>
          <cell r="H872">
            <v>5802</v>
          </cell>
          <cell r="I872">
            <v>0.08</v>
          </cell>
          <cell r="J872">
            <v>6307</v>
          </cell>
          <cell r="K872">
            <v>0.06</v>
          </cell>
          <cell r="L872">
            <v>6173</v>
          </cell>
        </row>
        <row r="873">
          <cell r="C873">
            <v>8030050080</v>
          </cell>
          <cell r="D873" t="str">
            <v>PVC电线管(B管)白色 dn25 2.9M/根 联塑</v>
          </cell>
          <cell r="E873" t="str">
            <v>PVC Conduit (grade B) dn25 2.9M/pc White - LESSO</v>
          </cell>
          <cell r="F873">
            <v>1</v>
          </cell>
          <cell r="G873">
            <v>9377</v>
          </cell>
          <cell r="H873">
            <v>8448</v>
          </cell>
          <cell r="I873">
            <v>0.08</v>
          </cell>
          <cell r="J873">
            <v>9183</v>
          </cell>
          <cell r="K873">
            <v>0.06</v>
          </cell>
          <cell r="L873">
            <v>8988</v>
          </cell>
        </row>
        <row r="874">
          <cell r="C874">
            <v>8030050090</v>
          </cell>
          <cell r="D874" t="str">
            <v>PVC电线管(B管)白色 dn32 2.9M/根 联塑</v>
          </cell>
          <cell r="E874" t="str">
            <v>PVC Conduit (grade B) dn32 2.9M/pc White - LESSO</v>
          </cell>
          <cell r="F874">
            <v>1</v>
          </cell>
          <cell r="G874">
            <v>14548</v>
          </cell>
          <cell r="H874">
            <v>13107</v>
          </cell>
          <cell r="I874">
            <v>0.08</v>
          </cell>
          <cell r="J874">
            <v>14247</v>
          </cell>
          <cell r="K874">
            <v>0.06</v>
          </cell>
          <cell r="L874">
            <v>13944</v>
          </cell>
        </row>
        <row r="875">
          <cell r="C875">
            <v>8030050101</v>
          </cell>
          <cell r="D875" t="str">
            <v>PVC电线管(B管)白色 dn40 2.9M/根 联塑</v>
          </cell>
          <cell r="E875" t="str">
            <v>PVC Conduit (grade B) dn40 2.9M/pc White - LESSO</v>
          </cell>
          <cell r="F875">
            <v>1</v>
          </cell>
          <cell r="G875">
            <v>24840</v>
          </cell>
          <cell r="H875">
            <v>22379</v>
          </cell>
          <cell r="I875">
            <v>0.08</v>
          </cell>
          <cell r="J875">
            <v>24325</v>
          </cell>
          <cell r="K875">
            <v>0.06</v>
          </cell>
          <cell r="L875">
            <v>23808</v>
          </cell>
        </row>
        <row r="876">
          <cell r="C876">
            <v>8030051700</v>
          </cell>
          <cell r="D876" t="str">
            <v>PVC电线管(C管)白色 5/8 4M/根 联塑</v>
          </cell>
          <cell r="E876" t="str">
            <v>PVC Conduit (grade C) dn5/8 4M/pc White - LESSO</v>
          </cell>
          <cell r="F876">
            <v>1</v>
          </cell>
          <cell r="G876">
            <v>6018</v>
          </cell>
          <cell r="H876">
            <v>5422</v>
          </cell>
          <cell r="I876">
            <v>0.08</v>
          </cell>
          <cell r="J876">
            <v>5894</v>
          </cell>
          <cell r="K876">
            <v>0.06</v>
          </cell>
          <cell r="L876">
            <v>5769</v>
          </cell>
        </row>
        <row r="877">
          <cell r="C877">
            <v>8030052245</v>
          </cell>
          <cell r="D877" t="str">
            <v>PVC电线管(C管)白色5/8 2.9M/根 联塑</v>
          </cell>
          <cell r="E877" t="str">
            <v>PVC Conduit (grade C) dn5/8 2.9M/pc White - LESSO</v>
          </cell>
          <cell r="F877">
            <v>1</v>
          </cell>
          <cell r="G877">
            <v>4116</v>
          </cell>
          <cell r="H877">
            <v>3709</v>
          </cell>
          <cell r="I877">
            <v>0.08</v>
          </cell>
          <cell r="J877">
            <v>4032</v>
          </cell>
          <cell r="K877">
            <v>0.06</v>
          </cell>
          <cell r="L877">
            <v>3946</v>
          </cell>
        </row>
        <row r="878">
          <cell r="C878">
            <v>8030051550</v>
          </cell>
          <cell r="D878" t="str">
            <v>PVC电线管(印尼)白色 dn20 2.9M/根 联塑</v>
          </cell>
          <cell r="E878" t="str">
            <v>PVC Conduit (Indonesia) dn50 2.9M/pc White - LESSO</v>
          </cell>
          <cell r="F878">
            <v>1</v>
          </cell>
          <cell r="G878">
            <v>8640</v>
          </cell>
          <cell r="H878">
            <v>7784</v>
          </cell>
          <cell r="I878">
            <v>0.08</v>
          </cell>
          <cell r="J878">
            <v>8461</v>
          </cell>
          <cell r="K878">
            <v>0.06</v>
          </cell>
          <cell r="L878">
            <v>8281</v>
          </cell>
        </row>
        <row r="879">
          <cell r="C879">
            <v>8030020288</v>
          </cell>
          <cell r="D879" t="str">
            <v>管直通(套筒)PVC电工套管配件白色 Φ20 联塑</v>
          </cell>
          <cell r="E879" t="str">
            <v>PVC Conduit Coupling dn20 White - LESSO</v>
          </cell>
          <cell r="F879">
            <v>1</v>
          </cell>
          <cell r="G879">
            <v>418</v>
          </cell>
          <cell r="H879">
            <v>377</v>
          </cell>
          <cell r="I879">
            <v>0.12</v>
          </cell>
          <cell r="J879">
            <v>429</v>
          </cell>
          <cell r="K879">
            <v>0.1</v>
          </cell>
          <cell r="L879">
            <v>419</v>
          </cell>
        </row>
        <row r="880">
          <cell r="C880">
            <v>8030020289</v>
          </cell>
          <cell r="D880" t="str">
            <v>管直通(套筒)PVC电工套管配件白色 Φ25 联塑</v>
          </cell>
          <cell r="E880" t="str">
            <v>PVC Conduit Coupling dn25 White - LESSO</v>
          </cell>
          <cell r="F880">
            <v>1</v>
          </cell>
          <cell r="G880">
            <v>646</v>
          </cell>
          <cell r="H880">
            <v>582</v>
          </cell>
          <cell r="I880">
            <v>0.12</v>
          </cell>
          <cell r="J880">
            <v>662</v>
          </cell>
          <cell r="K880">
            <v>0.1</v>
          </cell>
          <cell r="L880">
            <v>647</v>
          </cell>
        </row>
        <row r="881">
          <cell r="C881">
            <v>8030020290</v>
          </cell>
          <cell r="D881" t="str">
            <v>管直通(套筒)PVC电工套管配件白色 Φ32 联塑</v>
          </cell>
          <cell r="E881" t="str">
            <v>PVC Conduit Coupling dn32 White - LESSO</v>
          </cell>
          <cell r="F881">
            <v>1</v>
          </cell>
          <cell r="G881">
            <v>1140</v>
          </cell>
          <cell r="H881">
            <v>1028</v>
          </cell>
          <cell r="I881">
            <v>0.12</v>
          </cell>
          <cell r="J881">
            <v>1169</v>
          </cell>
          <cell r="K881">
            <v>0.1</v>
          </cell>
          <cell r="L881">
            <v>1143</v>
          </cell>
        </row>
        <row r="882">
          <cell r="C882">
            <v>8030020291</v>
          </cell>
          <cell r="D882" t="str">
            <v>管直通(套筒)PVC电工套管配件白色 Φ40 联塑</v>
          </cell>
          <cell r="E882" t="str">
            <v>PVC Conduit Coupling dn40 White - LESSO</v>
          </cell>
          <cell r="F882">
            <v>1</v>
          </cell>
          <cell r="G882">
            <v>1976</v>
          </cell>
          <cell r="H882">
            <v>1781</v>
          </cell>
          <cell r="I882">
            <v>0.12</v>
          </cell>
          <cell r="J882">
            <v>2024</v>
          </cell>
          <cell r="K882">
            <v>0.1</v>
          </cell>
          <cell r="L882">
            <v>1979</v>
          </cell>
        </row>
        <row r="883">
          <cell r="C883">
            <v>8030020170</v>
          </cell>
          <cell r="D883" t="str">
            <v>管三通PVC电工套管配件白色 Φ16 联塑</v>
          </cell>
          <cell r="E883" t="str">
            <v>PVC Conduit Tee dn16 White - LESSO</v>
          </cell>
          <cell r="F883">
            <v>1</v>
          </cell>
          <cell r="G883">
            <v>798</v>
          </cell>
          <cell r="H883">
            <v>719</v>
          </cell>
          <cell r="I883">
            <v>0.12</v>
          </cell>
          <cell r="J883">
            <v>818</v>
          </cell>
          <cell r="K883">
            <v>0.1</v>
          </cell>
          <cell r="L883">
            <v>799</v>
          </cell>
        </row>
        <row r="884">
          <cell r="C884">
            <v>8030020171</v>
          </cell>
          <cell r="D884" t="str">
            <v>管三通PVC电工套管配件白色 Φ20 联塑</v>
          </cell>
          <cell r="E884" t="str">
            <v>PVC Conduit Tee dn20 White - LESSO</v>
          </cell>
          <cell r="F884">
            <v>1</v>
          </cell>
          <cell r="G884">
            <v>988</v>
          </cell>
          <cell r="H884">
            <v>891</v>
          </cell>
          <cell r="I884">
            <v>0.12</v>
          </cell>
          <cell r="J884">
            <v>1013</v>
          </cell>
          <cell r="K884">
            <v>0.1</v>
          </cell>
          <cell r="L884">
            <v>990</v>
          </cell>
        </row>
        <row r="885">
          <cell r="C885">
            <v>8030020172</v>
          </cell>
          <cell r="D885" t="str">
            <v>管三通PVC电工套管配件白色 Φ25 联塑</v>
          </cell>
          <cell r="E885" t="str">
            <v>PVC Conduit Tee dn25 White - LESSO</v>
          </cell>
          <cell r="F885">
            <v>1</v>
          </cell>
          <cell r="G885">
            <v>1444</v>
          </cell>
          <cell r="H885">
            <v>1301</v>
          </cell>
          <cell r="I885">
            <v>0.12</v>
          </cell>
          <cell r="J885">
            <v>1479</v>
          </cell>
          <cell r="K885">
            <v>0.1</v>
          </cell>
          <cell r="L885">
            <v>1446</v>
          </cell>
        </row>
        <row r="886">
          <cell r="C886">
            <v>8030020173</v>
          </cell>
          <cell r="D886" t="str">
            <v>管三通PVC电工套管配件白色 Φ32 联塑</v>
          </cell>
          <cell r="E886" t="str">
            <v>PVC Conduit Tee dn32 White - LESSO</v>
          </cell>
          <cell r="F886">
            <v>1</v>
          </cell>
          <cell r="G886">
            <v>2280</v>
          </cell>
          <cell r="H886">
            <v>2055</v>
          </cell>
          <cell r="I886">
            <v>0.12</v>
          </cell>
          <cell r="J886">
            <v>2336</v>
          </cell>
          <cell r="K886">
            <v>0.1</v>
          </cell>
          <cell r="L886">
            <v>2284</v>
          </cell>
        </row>
        <row r="887">
          <cell r="C887">
            <v>8030020174</v>
          </cell>
          <cell r="D887" t="str">
            <v>管三通PVC电工套管配件白色 Φ40 联塑</v>
          </cell>
          <cell r="E887" t="str">
            <v>PVC Conduit Tee dn40 White - LESSO</v>
          </cell>
          <cell r="F887">
            <v>1</v>
          </cell>
          <cell r="G887">
            <v>5662</v>
          </cell>
          <cell r="H887">
            <v>5101</v>
          </cell>
          <cell r="I887">
            <v>0.12</v>
          </cell>
          <cell r="J887">
            <v>5797</v>
          </cell>
          <cell r="K887">
            <v>0.1</v>
          </cell>
          <cell r="L887">
            <v>5668</v>
          </cell>
        </row>
        <row r="888">
          <cell r="C888">
            <v>8030020175</v>
          </cell>
          <cell r="D888" t="str">
            <v>管三通PVC电工套管配件白色 Φ50 联塑</v>
          </cell>
          <cell r="E888" t="str">
            <v>PVC Conduit Tee dn50 White - LESSO</v>
          </cell>
          <cell r="F888">
            <v>1</v>
          </cell>
          <cell r="G888">
            <v>4389</v>
          </cell>
          <cell r="H888">
            <v>3955</v>
          </cell>
          <cell r="I888">
            <v>0.12</v>
          </cell>
          <cell r="J888">
            <v>4495</v>
          </cell>
          <cell r="K888">
            <v>0.1</v>
          </cell>
          <cell r="L888">
            <v>4395</v>
          </cell>
        </row>
        <row r="889">
          <cell r="C889">
            <v>8030021230</v>
          </cell>
          <cell r="D889" t="str">
            <v>45°弯头PVC电工套管配件白色 Φ20 联塑</v>
          </cell>
          <cell r="E889" t="str">
            <v>PVC Conduit 45° Elbow dn20 White - LESSO</v>
          </cell>
          <cell r="F889">
            <v>1</v>
          </cell>
          <cell r="G889">
            <v>798</v>
          </cell>
          <cell r="H889">
            <v>719</v>
          </cell>
          <cell r="I889">
            <v>0.12</v>
          </cell>
          <cell r="J889">
            <v>818</v>
          </cell>
          <cell r="K889">
            <v>0.1</v>
          </cell>
          <cell r="L889">
            <v>799</v>
          </cell>
        </row>
        <row r="890">
          <cell r="C890">
            <v>8030021231</v>
          </cell>
          <cell r="D890" t="str">
            <v>45°弯头PVC电工套管配件白色 Φ25 联塑</v>
          </cell>
          <cell r="E890" t="str">
            <v>PVC Conduit 45° Elbow dn25 White - LESSO</v>
          </cell>
          <cell r="F890">
            <v>1</v>
          </cell>
          <cell r="G890">
            <v>1197</v>
          </cell>
          <cell r="H890">
            <v>1079</v>
          </cell>
          <cell r="I890">
            <v>0.12</v>
          </cell>
          <cell r="J890">
            <v>1227</v>
          </cell>
          <cell r="K890">
            <v>0.1</v>
          </cell>
          <cell r="L890">
            <v>1199</v>
          </cell>
        </row>
        <row r="891">
          <cell r="C891">
            <v>8030021212</v>
          </cell>
          <cell r="D891" t="str">
            <v>45°弯头PVC电工套管配件白色 Φ32 联塑</v>
          </cell>
          <cell r="E891" t="str">
            <v>PVC Conduit 45° Elbow dn32 White - LESSO</v>
          </cell>
          <cell r="F891">
            <v>1</v>
          </cell>
          <cell r="G891">
            <v>1995</v>
          </cell>
          <cell r="H891">
            <v>1798</v>
          </cell>
          <cell r="I891">
            <v>0.12</v>
          </cell>
          <cell r="J891">
            <v>2044</v>
          </cell>
          <cell r="K891">
            <v>0.1</v>
          </cell>
          <cell r="L891">
            <v>1998</v>
          </cell>
        </row>
        <row r="892">
          <cell r="C892">
            <v>8030021213</v>
          </cell>
          <cell r="D892" t="str">
            <v>45°弯头PVC电工套管配件白色 Φ40 联塑</v>
          </cell>
          <cell r="E892" t="str">
            <v>PVC Conduit 45° Elbow dn40 White - LESSO</v>
          </cell>
          <cell r="F892">
            <v>1</v>
          </cell>
          <cell r="G892">
            <v>2793</v>
          </cell>
          <cell r="H892">
            <v>2517</v>
          </cell>
          <cell r="I892">
            <v>0.12</v>
          </cell>
          <cell r="J892">
            <v>2861</v>
          </cell>
          <cell r="K892">
            <v>0.1</v>
          </cell>
          <cell r="L892">
            <v>2797</v>
          </cell>
        </row>
        <row r="893">
          <cell r="C893">
            <v>8030020206</v>
          </cell>
          <cell r="D893" t="str">
            <v>管弯头PVC电工套管配件白色 Φ16 联塑</v>
          </cell>
          <cell r="E893" t="str">
            <v>PVC Conduit 90° Elbow dn16 White - LESSO</v>
          </cell>
          <cell r="F893">
            <v>1</v>
          </cell>
          <cell r="G893">
            <v>399</v>
          </cell>
          <cell r="H893">
            <v>360</v>
          </cell>
          <cell r="I893">
            <v>0.12</v>
          </cell>
          <cell r="J893">
            <v>410</v>
          </cell>
          <cell r="K893">
            <v>0.1</v>
          </cell>
          <cell r="L893">
            <v>400</v>
          </cell>
        </row>
        <row r="894">
          <cell r="C894">
            <v>8030020207</v>
          </cell>
          <cell r="D894" t="str">
            <v>管弯头PVC电工套管配件白色 Φ20 联塑</v>
          </cell>
          <cell r="E894" t="str">
            <v>PVC Conduit 90° Elbow dn20 White - LESSO</v>
          </cell>
          <cell r="F894">
            <v>1</v>
          </cell>
          <cell r="G894">
            <v>570</v>
          </cell>
          <cell r="H894">
            <v>514</v>
          </cell>
          <cell r="I894">
            <v>0.12</v>
          </cell>
          <cell r="J894">
            <v>585</v>
          </cell>
          <cell r="K894">
            <v>0.1</v>
          </cell>
          <cell r="L894">
            <v>572</v>
          </cell>
        </row>
        <row r="895">
          <cell r="C895">
            <v>8030020208</v>
          </cell>
          <cell r="D895" t="str">
            <v>管弯头PVC电工套管配件白色 Φ25 联塑</v>
          </cell>
          <cell r="E895" t="str">
            <v>PVC Conduit 90° Elbow dn25 White - LESSO</v>
          </cell>
          <cell r="F895">
            <v>1</v>
          </cell>
          <cell r="G895">
            <v>988</v>
          </cell>
          <cell r="H895">
            <v>891</v>
          </cell>
          <cell r="I895">
            <v>0.12</v>
          </cell>
          <cell r="J895">
            <v>1013</v>
          </cell>
          <cell r="K895">
            <v>0.1</v>
          </cell>
          <cell r="L895">
            <v>990</v>
          </cell>
        </row>
        <row r="896">
          <cell r="C896">
            <v>8030020209</v>
          </cell>
          <cell r="D896" t="str">
            <v>管弯头PVC电工套管配件白色 Φ32 联塑</v>
          </cell>
          <cell r="E896" t="str">
            <v>PVC Conduit 90° Elbow dn32 White - LESSO</v>
          </cell>
          <cell r="F896">
            <v>1</v>
          </cell>
          <cell r="G896">
            <v>1596</v>
          </cell>
          <cell r="H896">
            <v>1438</v>
          </cell>
          <cell r="I896">
            <v>0.12</v>
          </cell>
          <cell r="J896">
            <v>1635</v>
          </cell>
          <cell r="K896">
            <v>0.1</v>
          </cell>
          <cell r="L896">
            <v>1598</v>
          </cell>
        </row>
        <row r="897">
          <cell r="C897">
            <v>8030020210</v>
          </cell>
          <cell r="D897" t="str">
            <v>管弯头PVC电工套管配件白色 Φ40 联塑</v>
          </cell>
          <cell r="E897" t="str">
            <v>PVC Conduit 90° Elbow dn40 White - LESSO</v>
          </cell>
          <cell r="F897">
            <v>1</v>
          </cell>
          <cell r="G897">
            <v>3800</v>
          </cell>
          <cell r="H897">
            <v>3424</v>
          </cell>
          <cell r="I897">
            <v>0.12</v>
          </cell>
          <cell r="J897">
            <v>3891</v>
          </cell>
          <cell r="K897">
            <v>0.1</v>
          </cell>
          <cell r="L897">
            <v>3805</v>
          </cell>
        </row>
        <row r="898">
          <cell r="C898">
            <v>8030020621</v>
          </cell>
          <cell r="D898" t="str">
            <v>大弧度弯头PVC电工套管配件白色 Φ16 联塑</v>
          </cell>
          <cell r="E898" t="str">
            <v>PVC Conduit 90°Long Sweep Bend dn16 White - LESSO</v>
          </cell>
          <cell r="F898">
            <v>1</v>
          </cell>
          <cell r="G898">
            <v>798</v>
          </cell>
          <cell r="H898">
            <v>719</v>
          </cell>
          <cell r="I898">
            <v>0.12</v>
          </cell>
          <cell r="J898">
            <v>818</v>
          </cell>
          <cell r="K898">
            <v>0.1</v>
          </cell>
          <cell r="L898">
            <v>799</v>
          </cell>
        </row>
        <row r="899">
          <cell r="C899">
            <v>8030020202</v>
          </cell>
          <cell r="D899" t="str">
            <v>大弧度弯头PVC电工套管配件白色 Φ20 联塑</v>
          </cell>
          <cell r="E899" t="str">
            <v>PVC Conduit 90°Long Sweep Bend dn20 White - LESSO</v>
          </cell>
          <cell r="F899">
            <v>1</v>
          </cell>
          <cell r="G899">
            <v>760</v>
          </cell>
          <cell r="H899">
            <v>685</v>
          </cell>
          <cell r="I899">
            <v>0.12</v>
          </cell>
          <cell r="J899">
            <v>779</v>
          </cell>
          <cell r="K899">
            <v>0.1</v>
          </cell>
          <cell r="L899">
            <v>762</v>
          </cell>
        </row>
        <row r="900">
          <cell r="C900">
            <v>8030020203</v>
          </cell>
          <cell r="D900" t="str">
            <v>大弧度弯头PVC电工套管配件白色 Φ25 联塑</v>
          </cell>
          <cell r="E900" t="str">
            <v>PVC Conduit 90°Long Sweep Bend dn25 White - LESSO</v>
          </cell>
          <cell r="F900">
            <v>1</v>
          </cell>
          <cell r="G900">
            <v>1216</v>
          </cell>
          <cell r="H900">
            <v>1096</v>
          </cell>
          <cell r="I900">
            <v>0.12</v>
          </cell>
          <cell r="J900">
            <v>1246</v>
          </cell>
          <cell r="K900">
            <v>0.1</v>
          </cell>
          <cell r="L900">
            <v>1218</v>
          </cell>
        </row>
        <row r="901">
          <cell r="C901">
            <v>8030020204</v>
          </cell>
          <cell r="D901" t="str">
            <v>大弧度弯头PVC电工套管配件白色 Φ32 联塑</v>
          </cell>
          <cell r="E901" t="str">
            <v>PVC Conduit 90°Long Sweep Bend dn32 White - LESSO</v>
          </cell>
          <cell r="F901">
            <v>1</v>
          </cell>
          <cell r="G901">
            <v>2166</v>
          </cell>
          <cell r="H901">
            <v>1952</v>
          </cell>
          <cell r="I901">
            <v>0.12</v>
          </cell>
          <cell r="J901">
            <v>2219</v>
          </cell>
          <cell r="K901">
            <v>0.1</v>
          </cell>
          <cell r="L901">
            <v>2169</v>
          </cell>
        </row>
        <row r="902">
          <cell r="C902">
            <v>8030020205</v>
          </cell>
          <cell r="D902" t="str">
            <v>大弧度弯头PVC电工套管配件白色 Φ40 联塑</v>
          </cell>
          <cell r="E902" t="str">
            <v>PVC Conduit 90°Long Sweep Bend dn40 White - LESSO</v>
          </cell>
          <cell r="F902">
            <v>1</v>
          </cell>
          <cell r="G902">
            <v>4940</v>
          </cell>
          <cell r="H902">
            <v>4451</v>
          </cell>
          <cell r="I902">
            <v>0.12</v>
          </cell>
          <cell r="J902">
            <v>5058</v>
          </cell>
          <cell r="K902">
            <v>0.1</v>
          </cell>
          <cell r="L902">
            <v>4946</v>
          </cell>
        </row>
        <row r="903">
          <cell r="C903">
            <v>8030040024</v>
          </cell>
          <cell r="D903" t="str">
            <v>大弧度弯头PVC电工套管配件白色 Φ50 联塑</v>
          </cell>
          <cell r="E903" t="str">
            <v>PVC Conduit 90°Long Sweep Bend dn50 White - LESSO</v>
          </cell>
          <cell r="F903">
            <v>1</v>
          </cell>
          <cell r="G903">
            <v>5187</v>
          </cell>
          <cell r="H903">
            <v>4673</v>
          </cell>
          <cell r="I903">
            <v>0.12</v>
          </cell>
          <cell r="J903">
            <v>5311</v>
          </cell>
          <cell r="K903">
            <v>0.1</v>
          </cell>
          <cell r="L903">
            <v>5193</v>
          </cell>
        </row>
        <row r="904">
          <cell r="C904">
            <v>8030020221</v>
          </cell>
          <cell r="D904" t="str">
            <v>管有盖弯头PVC电工套管配件白色 Φ20 联塑</v>
          </cell>
          <cell r="E904" t="str">
            <v>PVC Conduit Elbow With Cover dn20 White - LESSO</v>
          </cell>
          <cell r="F904">
            <v>1</v>
          </cell>
          <cell r="G904">
            <v>988</v>
          </cell>
          <cell r="H904">
            <v>891</v>
          </cell>
          <cell r="I904">
            <v>0.12</v>
          </cell>
          <cell r="J904">
            <v>1013</v>
          </cell>
          <cell r="K904">
            <v>0.1</v>
          </cell>
          <cell r="L904">
            <v>990</v>
          </cell>
        </row>
        <row r="905">
          <cell r="C905">
            <v>8030020222</v>
          </cell>
          <cell r="D905" t="str">
            <v>管有盖弯头PVC电工套管配件白色 Φ25 联塑</v>
          </cell>
          <cell r="E905" t="str">
            <v>PVC Conduit Elbow With Cover dn25 White - LESSO</v>
          </cell>
          <cell r="F905">
            <v>1</v>
          </cell>
          <cell r="G905">
            <v>1254</v>
          </cell>
          <cell r="H905">
            <v>1130</v>
          </cell>
          <cell r="I905">
            <v>0.12</v>
          </cell>
          <cell r="J905">
            <v>1285</v>
          </cell>
          <cell r="K905">
            <v>0.1</v>
          </cell>
          <cell r="L905">
            <v>1256</v>
          </cell>
        </row>
        <row r="906">
          <cell r="C906">
            <v>8030020223</v>
          </cell>
          <cell r="D906" t="str">
            <v>管有盖弯头PVC电工套管配件白色 Φ32 联塑</v>
          </cell>
          <cell r="E906" t="str">
            <v>PVC Conduit Elbow With Cover dn32 White - LESSO</v>
          </cell>
          <cell r="F906">
            <v>1</v>
          </cell>
          <cell r="G906">
            <v>2698</v>
          </cell>
          <cell r="H906">
            <v>2431</v>
          </cell>
          <cell r="I906">
            <v>0.12</v>
          </cell>
          <cell r="J906">
            <v>2763</v>
          </cell>
          <cell r="K906">
            <v>0.1</v>
          </cell>
          <cell r="L906">
            <v>2702</v>
          </cell>
        </row>
        <row r="907">
          <cell r="C907">
            <v>8030020224</v>
          </cell>
          <cell r="D907" t="str">
            <v>管有盖弯头PVC电工套管配件白色 Φ40 联塑</v>
          </cell>
          <cell r="E907" t="str">
            <v>PVC Conduit Elbow With Cover dn40 White - LESSO</v>
          </cell>
          <cell r="F907">
            <v>1</v>
          </cell>
          <cell r="G907">
            <v>6536</v>
          </cell>
          <cell r="H907">
            <v>5889</v>
          </cell>
          <cell r="I907">
            <v>0.12</v>
          </cell>
          <cell r="J907">
            <v>6693</v>
          </cell>
          <cell r="K907">
            <v>0.1</v>
          </cell>
          <cell r="L907">
            <v>6544</v>
          </cell>
        </row>
        <row r="908">
          <cell r="C908">
            <v>8030020225</v>
          </cell>
          <cell r="D908" t="str">
            <v>管有盖弯头PVC电工套管配件白色 Φ50 联塑</v>
          </cell>
          <cell r="E908" t="str">
            <v>PVC Conduit Elbow With Cover dn50 White - LESSO</v>
          </cell>
          <cell r="F908">
            <v>1</v>
          </cell>
          <cell r="G908">
            <v>5985</v>
          </cell>
          <cell r="H908">
            <v>5392</v>
          </cell>
          <cell r="I908">
            <v>0.12</v>
          </cell>
          <cell r="J908">
            <v>6128</v>
          </cell>
          <cell r="K908">
            <v>0.1</v>
          </cell>
          <cell r="L908">
            <v>5992</v>
          </cell>
        </row>
        <row r="909">
          <cell r="C909">
            <v>8030020185</v>
          </cell>
          <cell r="D909" t="str">
            <v>管有盖三通PVC电工套管配件白色 Φ20 联塑</v>
          </cell>
          <cell r="E909" t="str">
            <v>PVC Conduit Tee With Cover dn20 White - LESSO</v>
          </cell>
          <cell r="F909">
            <v>1</v>
          </cell>
          <cell r="G909">
            <v>2052</v>
          </cell>
          <cell r="H909">
            <v>1849</v>
          </cell>
          <cell r="I909">
            <v>0.12</v>
          </cell>
          <cell r="J909">
            <v>2102</v>
          </cell>
          <cell r="K909">
            <v>0.1</v>
          </cell>
          <cell r="L909">
            <v>2055</v>
          </cell>
        </row>
        <row r="910">
          <cell r="C910">
            <v>8030020186</v>
          </cell>
          <cell r="D910" t="str">
            <v>管有盖三通PVC电工套管配件白色 Φ25 联塑</v>
          </cell>
          <cell r="E910" t="str">
            <v>PVC Conduit Tee With Cover dn25 White - LESSO</v>
          </cell>
          <cell r="F910">
            <v>1</v>
          </cell>
          <cell r="G910">
            <v>3078</v>
          </cell>
          <cell r="H910">
            <v>2773</v>
          </cell>
          <cell r="I910">
            <v>0.12</v>
          </cell>
          <cell r="J910">
            <v>3152</v>
          </cell>
          <cell r="K910">
            <v>0.1</v>
          </cell>
          <cell r="L910">
            <v>3082</v>
          </cell>
        </row>
        <row r="911">
          <cell r="C911">
            <v>8030020187</v>
          </cell>
          <cell r="D911" t="str">
            <v>管有盖三通PVC电工套管配件白色 Φ32 联塑</v>
          </cell>
          <cell r="E911" t="str">
            <v>PVC Conduit Tee With Cover dn32 White - LESSO</v>
          </cell>
          <cell r="F911">
            <v>1</v>
          </cell>
          <cell r="G911">
            <v>5244</v>
          </cell>
          <cell r="H911">
            <v>4725</v>
          </cell>
          <cell r="I911">
            <v>0.12</v>
          </cell>
          <cell r="J911">
            <v>5370</v>
          </cell>
          <cell r="K911">
            <v>0.1</v>
          </cell>
          <cell r="L911">
            <v>5250</v>
          </cell>
        </row>
        <row r="912">
          <cell r="C912">
            <v>8030020580</v>
          </cell>
          <cell r="D912" t="str">
            <v>管有盖三通PVC电工套管配件白色 Φ40 联塑</v>
          </cell>
          <cell r="E912" t="str">
            <v>PVC Conduit Tee With Cover dn40 White - LESSO</v>
          </cell>
          <cell r="F912">
            <v>1</v>
          </cell>
          <cell r="G912">
            <v>9348</v>
          </cell>
          <cell r="H912">
            <v>8422</v>
          </cell>
          <cell r="I912">
            <v>0.12</v>
          </cell>
          <cell r="J912">
            <v>9571</v>
          </cell>
          <cell r="K912">
            <v>0.1</v>
          </cell>
          <cell r="L912">
            <v>9358</v>
          </cell>
        </row>
        <row r="913">
          <cell r="C913">
            <v>8030020231</v>
          </cell>
          <cell r="D913" t="str">
            <v>管单通圆接线盒(带盖)PVC电工套管配件白色 65x40/1/Φ16/40 联塑</v>
          </cell>
          <cell r="E913" t="str">
            <v>PVC Conduit 1 Way Terminal Box (With Cover) 65x40 / 1 / dn16 / 40 White - LESSO</v>
          </cell>
          <cell r="F913">
            <v>1</v>
          </cell>
          <cell r="G913">
            <v>3990</v>
          </cell>
          <cell r="H913">
            <v>3595</v>
          </cell>
          <cell r="I913">
            <v>0.12</v>
          </cell>
          <cell r="J913">
            <v>4086</v>
          </cell>
          <cell r="K913">
            <v>0.1</v>
          </cell>
          <cell r="L913">
            <v>3995</v>
          </cell>
        </row>
        <row r="914">
          <cell r="C914">
            <v>8030020232</v>
          </cell>
          <cell r="D914" t="str">
            <v>管单通圆接线盒(带盖)PVC电工套管配件白色 65x40/1/Φ20 联塑</v>
          </cell>
          <cell r="E914" t="str">
            <v>PVC Conduit 1 Way Terminal Box (With Cover) 65x40 / 1 / dn20 White - LESSO</v>
          </cell>
          <cell r="F914">
            <v>1</v>
          </cell>
          <cell r="G914">
            <v>2926</v>
          </cell>
          <cell r="H914">
            <v>2637</v>
          </cell>
          <cell r="I914">
            <v>0.12</v>
          </cell>
          <cell r="J914">
            <v>2997</v>
          </cell>
          <cell r="K914">
            <v>0.1</v>
          </cell>
          <cell r="L914">
            <v>2930</v>
          </cell>
        </row>
        <row r="915">
          <cell r="C915">
            <v>8030020233</v>
          </cell>
          <cell r="D915" t="str">
            <v>管单通圆接线盒(带盖)PVC电工套管配件白色 65x40/1/Φ25 联塑</v>
          </cell>
          <cell r="E915" t="str">
            <v>PVC Conduit 1 Way Terminal Box (With Cover) 65x40 / 1 / dn25 White - LESSO</v>
          </cell>
          <cell r="F915">
            <v>1</v>
          </cell>
          <cell r="G915">
            <v>3154</v>
          </cell>
          <cell r="H915">
            <v>2842</v>
          </cell>
          <cell r="I915">
            <v>0.12</v>
          </cell>
          <cell r="J915">
            <v>3230</v>
          </cell>
          <cell r="K915">
            <v>0.1</v>
          </cell>
          <cell r="L915">
            <v>3158</v>
          </cell>
        </row>
        <row r="916">
          <cell r="C916">
            <v>8030020239</v>
          </cell>
          <cell r="D916" t="str">
            <v>管双曲通圆接线盒(带盖)PVC电工套管配件白色 65x40/2L/Φ16/40 联塑</v>
          </cell>
          <cell r="E916" t="str">
            <v>PVC Conduit 2 Way Angle Box (With Cover) 65x40 / 2L / dn16 / 40 White - LESSO</v>
          </cell>
          <cell r="F916">
            <v>1</v>
          </cell>
          <cell r="G916">
            <v>3990</v>
          </cell>
          <cell r="H916">
            <v>3595</v>
          </cell>
          <cell r="I916">
            <v>0.12</v>
          </cell>
          <cell r="J916">
            <v>4086</v>
          </cell>
          <cell r="K916">
            <v>0.1</v>
          </cell>
          <cell r="L916">
            <v>3995</v>
          </cell>
        </row>
        <row r="917">
          <cell r="C917">
            <v>8030020240</v>
          </cell>
          <cell r="D917" t="str">
            <v>管双曲通圆接线盒(带盖)PVC电工套管配件白色 65x40/2L/Φ20 联塑</v>
          </cell>
          <cell r="E917" t="str">
            <v>PVC Conduit 2 Way Angle Box (With Cover) 65x40 / 2L / dn20 White - LESSO</v>
          </cell>
          <cell r="F917">
            <v>1</v>
          </cell>
          <cell r="G917">
            <v>3154</v>
          </cell>
          <cell r="H917">
            <v>2842</v>
          </cell>
          <cell r="I917">
            <v>0.12</v>
          </cell>
          <cell r="J917">
            <v>3230</v>
          </cell>
          <cell r="K917">
            <v>0.1</v>
          </cell>
          <cell r="L917">
            <v>3158</v>
          </cell>
        </row>
        <row r="918">
          <cell r="C918">
            <v>8030020241</v>
          </cell>
          <cell r="D918" t="str">
            <v>管双曲通圆接线盒(带盖)PVC电工套管配件白色 65x40/2L/Φ25 联塑</v>
          </cell>
          <cell r="E918" t="str">
            <v>PVC Conduit 2 Way Angle Box (With cover) 65x40 / 2L / dn25 White - LESSO</v>
          </cell>
          <cell r="F918">
            <v>1</v>
          </cell>
          <cell r="G918">
            <v>3420</v>
          </cell>
          <cell r="H918">
            <v>3082</v>
          </cell>
          <cell r="I918">
            <v>0.12</v>
          </cell>
          <cell r="J918">
            <v>3503</v>
          </cell>
          <cell r="K918">
            <v>0.1</v>
          </cell>
          <cell r="L918">
            <v>3425</v>
          </cell>
        </row>
        <row r="919">
          <cell r="C919">
            <v>8030020257</v>
          </cell>
          <cell r="D919" t="str">
            <v>管双直通圆接线盒(带盖)PVC电工套管配件白色 65x40/2I/Φ20 联塑</v>
          </cell>
          <cell r="E919" t="str">
            <v>PVC Conduit 2 Way Through Box (With Cover) 65x40 / 2I / dn20 White - LESSO</v>
          </cell>
          <cell r="F919">
            <v>1</v>
          </cell>
          <cell r="G919">
            <v>3078</v>
          </cell>
          <cell r="H919">
            <v>2773</v>
          </cell>
          <cell r="I919">
            <v>0.12</v>
          </cell>
          <cell r="J919">
            <v>3152</v>
          </cell>
          <cell r="K919">
            <v>0.1</v>
          </cell>
          <cell r="L919">
            <v>3082</v>
          </cell>
        </row>
        <row r="920">
          <cell r="C920">
            <v>8030020258</v>
          </cell>
          <cell r="D920" t="str">
            <v>管双直通圆接线盒(带盖)PVC电工套管配件白色 65x40/2I/Φ25 联塑</v>
          </cell>
          <cell r="E920" t="str">
            <v>PVC Conduit 2 Way Through Box (With Cover) 65x40 / 2I / dn25 White - LESSO</v>
          </cell>
          <cell r="F920">
            <v>1</v>
          </cell>
          <cell r="G920">
            <v>3382</v>
          </cell>
          <cell r="H920">
            <v>3047</v>
          </cell>
          <cell r="I920">
            <v>0.12</v>
          </cell>
          <cell r="J920">
            <v>3463</v>
          </cell>
          <cell r="K920">
            <v>0.1</v>
          </cell>
          <cell r="L920">
            <v>3386</v>
          </cell>
        </row>
        <row r="921">
          <cell r="C921">
            <v>8030020191</v>
          </cell>
          <cell r="D921" t="str">
            <v>管三通圆接线盒(带盖)PVC电工套管配件白色 65x40/3/Φ16/40 联塑</v>
          </cell>
          <cell r="E921" t="str">
            <v>PVC Conduit 3 Way Tee Box (With Cover) 65x40 / 3 / dn16 / 40 White - LESSO</v>
          </cell>
          <cell r="F921">
            <v>1</v>
          </cell>
          <cell r="G921">
            <v>3990</v>
          </cell>
          <cell r="H921">
            <v>3595</v>
          </cell>
          <cell r="I921">
            <v>0.12</v>
          </cell>
          <cell r="J921">
            <v>4086</v>
          </cell>
          <cell r="K921">
            <v>0.1</v>
          </cell>
          <cell r="L921">
            <v>3995</v>
          </cell>
        </row>
        <row r="922">
          <cell r="C922">
            <v>8030020192</v>
          </cell>
          <cell r="D922" t="str">
            <v>管三通圆接线盒(带盖)PVC电工套管配件白色 65x40/3/Φ20 联塑</v>
          </cell>
          <cell r="E922" t="str">
            <v>PVC Conduit 3 Way Tee Box (With Cover) 65x40 / 3 / dn20 White - LESSO</v>
          </cell>
          <cell r="F922">
            <v>1</v>
          </cell>
          <cell r="G922">
            <v>3268</v>
          </cell>
          <cell r="H922">
            <v>2945</v>
          </cell>
          <cell r="I922">
            <v>0.12</v>
          </cell>
          <cell r="J922">
            <v>3347</v>
          </cell>
          <cell r="K922">
            <v>0.1</v>
          </cell>
          <cell r="L922">
            <v>3273</v>
          </cell>
        </row>
        <row r="923">
          <cell r="C923">
            <v>8030020193</v>
          </cell>
          <cell r="D923" t="str">
            <v>管三通圆接线盒(带盖)PVC电工套管配件白色 65x40/3/Φ25 联塑</v>
          </cell>
          <cell r="E923" t="str">
            <v>PVC Conduit 3 Way Tee Box (With Cover) 65x40 / 3 / dn25 White - LESSO</v>
          </cell>
          <cell r="F923">
            <v>1</v>
          </cell>
          <cell r="G923">
            <v>3648</v>
          </cell>
          <cell r="H923">
            <v>3287</v>
          </cell>
          <cell r="I923">
            <v>0.12</v>
          </cell>
          <cell r="J923">
            <v>3736</v>
          </cell>
          <cell r="K923">
            <v>0.1</v>
          </cell>
          <cell r="L923">
            <v>3653</v>
          </cell>
        </row>
        <row r="924">
          <cell r="C924">
            <v>8030020247</v>
          </cell>
          <cell r="D924" t="str">
            <v>管四通圆接线盒(带盖)PVC电工套管配件白色 65x40/4/Φ16/40 联塑</v>
          </cell>
          <cell r="E924" t="str">
            <v>PVC Conduit 4 Way Cross Box (With Cover) 65x40 / 4 / dn16 / 40 White - LESSO</v>
          </cell>
          <cell r="F924">
            <v>1</v>
          </cell>
          <cell r="G924">
            <v>3990</v>
          </cell>
          <cell r="H924">
            <v>3595</v>
          </cell>
          <cell r="I924">
            <v>0.12</v>
          </cell>
          <cell r="J924">
            <v>4086</v>
          </cell>
          <cell r="K924">
            <v>0.1</v>
          </cell>
          <cell r="L924">
            <v>3995</v>
          </cell>
        </row>
        <row r="925">
          <cell r="C925">
            <v>8030020248</v>
          </cell>
          <cell r="D925" t="str">
            <v>管四通圆接线盒(带盖)PVC电工套管配件白色 65x40/4/Φ20 联塑</v>
          </cell>
          <cell r="E925" t="str">
            <v>PVC Conduit 4 Way Cross Box (With Cover) 65x40 / 4 / dn20 White - LESSO</v>
          </cell>
          <cell r="F925">
            <v>1</v>
          </cell>
          <cell r="G925">
            <v>4180</v>
          </cell>
          <cell r="H925">
            <v>3766</v>
          </cell>
          <cell r="I925">
            <v>0.12</v>
          </cell>
          <cell r="J925">
            <v>4280</v>
          </cell>
          <cell r="K925">
            <v>0.1</v>
          </cell>
          <cell r="L925">
            <v>4185</v>
          </cell>
        </row>
        <row r="926">
          <cell r="C926">
            <v>8030020249</v>
          </cell>
          <cell r="D926" t="str">
            <v>管四通圆接线盒(带盖)PVC电工套管配件白色 65x40/4/Φ25 联塑</v>
          </cell>
          <cell r="E926" t="str">
            <v>PVC Conduit 4 Way Cross Box (With Cover) 65x40 / 4 / dn25 White - LESSO</v>
          </cell>
          <cell r="F926">
            <v>1</v>
          </cell>
          <cell r="G926">
            <v>5054</v>
          </cell>
          <cell r="H926">
            <v>4554</v>
          </cell>
          <cell r="I926">
            <v>0.12</v>
          </cell>
          <cell r="J926">
            <v>5175</v>
          </cell>
          <cell r="K926">
            <v>0.1</v>
          </cell>
          <cell r="L926">
            <v>5060</v>
          </cell>
        </row>
        <row r="927">
          <cell r="C927">
            <v>8030020112</v>
          </cell>
          <cell r="D927" t="str">
            <v>暗装灯头深型圆接线盒(单通)PVC电工套管配件白色 65x65/1/Φ16/65 联塑</v>
          </cell>
          <cell r="E927" t="str">
            <v>PVC Conduit 1 Way Deep Terminal Box (conncealed installation) 65x65 / 1 / dn16 / 65 White - LESSO</v>
          </cell>
          <cell r="F927">
            <v>1</v>
          </cell>
          <cell r="G927">
            <v>4389</v>
          </cell>
          <cell r="H927">
            <v>3955</v>
          </cell>
          <cell r="I927">
            <v>0.12</v>
          </cell>
          <cell r="J927">
            <v>4495</v>
          </cell>
          <cell r="K927">
            <v>0.1</v>
          </cell>
          <cell r="L927">
            <v>4395</v>
          </cell>
        </row>
        <row r="928">
          <cell r="C928">
            <v>8030020113</v>
          </cell>
          <cell r="D928" t="str">
            <v>暗装灯头深型圆接线盒(单通)PVC电工套管配件白色 65x65/1/Φ20 联塑</v>
          </cell>
          <cell r="E928" t="str">
            <v>PVC Conduit 1 Way Deep Terminal Box (conncealed installation) 65x65 / 1 / dn20 White - LESSO</v>
          </cell>
          <cell r="F928">
            <v>1</v>
          </cell>
          <cell r="G928">
            <v>3990</v>
          </cell>
          <cell r="H928">
            <v>3595</v>
          </cell>
          <cell r="I928">
            <v>0.12</v>
          </cell>
          <cell r="J928">
            <v>4086</v>
          </cell>
          <cell r="K928">
            <v>0.1</v>
          </cell>
          <cell r="L928">
            <v>3995</v>
          </cell>
        </row>
        <row r="929">
          <cell r="C929">
            <v>8030020114</v>
          </cell>
          <cell r="D929" t="str">
            <v>暗装灯头深型圆接线盒(单通)PVC电工套管配件白色 65x65/1/Φ25 联塑</v>
          </cell>
          <cell r="E929" t="str">
            <v>PVC Conduit 1 Way Deep Terminal Box (conncealed installation) 65x65 / 1 / dn25 White - LESSO</v>
          </cell>
          <cell r="F929">
            <v>1</v>
          </cell>
          <cell r="G929">
            <v>3990</v>
          </cell>
          <cell r="H929">
            <v>3595</v>
          </cell>
          <cell r="I929">
            <v>0.12</v>
          </cell>
          <cell r="J929">
            <v>4086</v>
          </cell>
          <cell r="K929">
            <v>0.1</v>
          </cell>
          <cell r="L929">
            <v>3995</v>
          </cell>
        </row>
        <row r="930">
          <cell r="C930">
            <v>8030020378</v>
          </cell>
          <cell r="D930" t="str">
            <v>暗装灯头深型圆接线盒(单通)PVC电工套管配件白色 65x70/1/Φ20 联塑</v>
          </cell>
          <cell r="E930" t="str">
            <v>PVC Conduit 1 Way Deep Terminal Box (conncealed installation) 65x70 / 1 / dn20 White - LESSO</v>
          </cell>
          <cell r="F930">
            <v>1</v>
          </cell>
          <cell r="G930">
            <v>4389</v>
          </cell>
          <cell r="H930">
            <v>3955</v>
          </cell>
          <cell r="I930">
            <v>0.12</v>
          </cell>
          <cell r="J930">
            <v>4495</v>
          </cell>
          <cell r="K930">
            <v>0.1</v>
          </cell>
          <cell r="L930">
            <v>4395</v>
          </cell>
        </row>
        <row r="931">
          <cell r="C931">
            <v>8030020368</v>
          </cell>
          <cell r="D931" t="str">
            <v>暗装灯头深型圆接线盒(单通)PVC电工套管配件白色 65x70/1/Φ25 联塑</v>
          </cell>
          <cell r="E931" t="str">
            <v>PVC Conduit 1 Way Deep Terminal Box (conncealed installation) 65x70 / 1 / dn25 White - LESSO</v>
          </cell>
          <cell r="F931">
            <v>1</v>
          </cell>
          <cell r="G931">
            <v>4389</v>
          </cell>
          <cell r="H931">
            <v>3955</v>
          </cell>
          <cell r="I931">
            <v>0.12</v>
          </cell>
          <cell r="J931">
            <v>4495</v>
          </cell>
          <cell r="K931">
            <v>0.1</v>
          </cell>
          <cell r="L931">
            <v>4395</v>
          </cell>
        </row>
        <row r="932">
          <cell r="C932">
            <v>8030020167</v>
          </cell>
          <cell r="D932" t="str">
            <v>暗装灯头深型圆接线盒(三通)PVC电工套管配件白色 65x65/3/Φ16/65 联塑</v>
          </cell>
          <cell r="E932" t="str">
            <v>PVC Conduit 3 Way Deep Tee Box (conncealed installation) 65x65 / 3 / dn16 / 65 White - LESSO</v>
          </cell>
          <cell r="F932">
            <v>1</v>
          </cell>
          <cell r="G932">
            <v>4788</v>
          </cell>
          <cell r="H932">
            <v>4314</v>
          </cell>
          <cell r="I932">
            <v>0.12</v>
          </cell>
          <cell r="J932">
            <v>4903</v>
          </cell>
          <cell r="K932">
            <v>0.1</v>
          </cell>
          <cell r="L932">
            <v>4794</v>
          </cell>
        </row>
        <row r="933">
          <cell r="C933">
            <v>8030020168</v>
          </cell>
          <cell r="D933" t="str">
            <v>暗装灯头深型圆接线盒(三通)PVC电工套管配件白色 65x65/3/Φ20 联塑</v>
          </cell>
          <cell r="E933" t="str">
            <v>PVC Conduit 3 Way Deep Tee Box (conncealed installation) 65x65 / 3 / dn20 White - LESSO</v>
          </cell>
          <cell r="F933">
            <v>1</v>
          </cell>
          <cell r="G933">
            <v>4389</v>
          </cell>
          <cell r="H933">
            <v>3955</v>
          </cell>
          <cell r="I933">
            <v>0.12</v>
          </cell>
          <cell r="J933">
            <v>4495</v>
          </cell>
          <cell r="K933">
            <v>0.1</v>
          </cell>
          <cell r="L933">
            <v>4395</v>
          </cell>
        </row>
        <row r="934">
          <cell r="C934">
            <v>8030020169</v>
          </cell>
          <cell r="D934" t="str">
            <v>暗装灯头深型圆接线盒(三通)PVC电工套管配件白色 65x65/3/Φ25 联塑</v>
          </cell>
          <cell r="E934" t="str">
            <v>PVC Conduit 3 Way Deep Tee Box (conncealed installation) 65x65 / 3 / dn25 White - LESSO</v>
          </cell>
          <cell r="F934">
            <v>1</v>
          </cell>
          <cell r="G934">
            <v>4788</v>
          </cell>
          <cell r="H934">
            <v>4314</v>
          </cell>
          <cell r="I934">
            <v>0.12</v>
          </cell>
          <cell r="J934">
            <v>4903</v>
          </cell>
          <cell r="K934">
            <v>0.1</v>
          </cell>
          <cell r="L934">
            <v>4794</v>
          </cell>
        </row>
        <row r="935">
          <cell r="C935">
            <v>8030020382</v>
          </cell>
          <cell r="D935" t="str">
            <v>暗装灯头深型圆接线盒(三通)PVC电工套管配件白色 65x70/3/Φ20 联塑</v>
          </cell>
          <cell r="E935" t="str">
            <v>PVC Conduit 3 Way Deep Tee Box (conncealed installation) 65x70 / 3 / dn20 White - LESSO</v>
          </cell>
          <cell r="F935">
            <v>1</v>
          </cell>
          <cell r="G935">
            <v>3053</v>
          </cell>
          <cell r="H935">
            <v>2751</v>
          </cell>
          <cell r="I935">
            <v>0.12</v>
          </cell>
          <cell r="J935">
            <v>3127</v>
          </cell>
          <cell r="K935">
            <v>0.1</v>
          </cell>
          <cell r="L935">
            <v>3057</v>
          </cell>
        </row>
        <row r="936">
          <cell r="C936">
            <v>8030020383</v>
          </cell>
          <cell r="D936" t="str">
            <v>暗装灯头深型圆接线盒(三通)PVC电工套管配件白色 65x70/3/Φ25 联塑</v>
          </cell>
          <cell r="E936" t="str">
            <v>PVC Conduit 3 Way Deep Tee Box (conncealed installation) 65x70 / 3 / dn25 White - LESSO</v>
          </cell>
          <cell r="F936">
            <v>1</v>
          </cell>
          <cell r="G936">
            <v>6384</v>
          </cell>
          <cell r="H936">
            <v>5752</v>
          </cell>
          <cell r="I936">
            <v>0.12</v>
          </cell>
          <cell r="J936">
            <v>6537</v>
          </cell>
          <cell r="K936">
            <v>0.1</v>
          </cell>
          <cell r="L936">
            <v>6392</v>
          </cell>
        </row>
        <row r="937">
          <cell r="C937">
            <v>8030020116</v>
          </cell>
          <cell r="D937" t="str">
            <v>暗装灯头深型圆接线盒(双曲通)PVC电工套管配件白色 65x65/2L/Φ20 联塑</v>
          </cell>
          <cell r="E937" t="str">
            <v>PVC Conduit 2 Way Deep Angle Box (conncealed installation) 65x65 / 2L / dn20 White - LESSO</v>
          </cell>
          <cell r="F937">
            <v>1</v>
          </cell>
          <cell r="G937">
            <v>3990</v>
          </cell>
          <cell r="H937">
            <v>3595</v>
          </cell>
          <cell r="I937">
            <v>0.12</v>
          </cell>
          <cell r="J937">
            <v>4086</v>
          </cell>
          <cell r="K937">
            <v>0.1</v>
          </cell>
          <cell r="L937">
            <v>3995</v>
          </cell>
        </row>
        <row r="938">
          <cell r="C938">
            <v>8030020117</v>
          </cell>
          <cell r="D938" t="str">
            <v>暗装灯头深型圆接线盒(双曲通)PVC电工套管配件白色 65x65/2L/Φ25 联塑</v>
          </cell>
          <cell r="E938" t="str">
            <v>PVC Conduit 2 Way Deep Angle Box (conncealed installation) 65x65 / 2L / dn25 White - LESSO</v>
          </cell>
          <cell r="F938">
            <v>1</v>
          </cell>
          <cell r="G938">
            <v>4389</v>
          </cell>
          <cell r="H938">
            <v>3955</v>
          </cell>
          <cell r="I938">
            <v>0.12</v>
          </cell>
          <cell r="J938">
            <v>4495</v>
          </cell>
          <cell r="K938">
            <v>0.1</v>
          </cell>
          <cell r="L938">
            <v>4395</v>
          </cell>
        </row>
        <row r="939">
          <cell r="C939">
            <v>8030020379</v>
          </cell>
          <cell r="D939" t="str">
            <v>暗装灯头深型圆接线盒(双曲通)PVC电工套管配件白色 65x70/2L/Φ20 联塑</v>
          </cell>
          <cell r="E939" t="str">
            <v>PVC Conduit 2 Way Deep Angle Box (conncealed installation) 65x70 / 2L / dn20 White - LESSO</v>
          </cell>
          <cell r="F939">
            <v>1</v>
          </cell>
          <cell r="G939">
            <v>4389</v>
          </cell>
          <cell r="H939">
            <v>3955</v>
          </cell>
          <cell r="I939">
            <v>0.12</v>
          </cell>
          <cell r="J939">
            <v>4495</v>
          </cell>
          <cell r="K939">
            <v>0.1</v>
          </cell>
          <cell r="L939">
            <v>4395</v>
          </cell>
        </row>
        <row r="940">
          <cell r="C940">
            <v>8030020268</v>
          </cell>
          <cell r="D940" t="str">
            <v>暗装灯头深型圆接线盒(双直通)PVC电工套管配件白色 65x65/2I/Φ20 联塑</v>
          </cell>
          <cell r="E940" t="str">
            <v>PVC Conduit 2 Way Deep Through Box (conncealed installation) 65x65 / 2l / dn20 White - LESSO</v>
          </cell>
          <cell r="F940">
            <v>1</v>
          </cell>
          <cell r="G940">
            <v>4104</v>
          </cell>
          <cell r="H940">
            <v>3698</v>
          </cell>
          <cell r="I940">
            <v>0.12</v>
          </cell>
          <cell r="J940">
            <v>4203</v>
          </cell>
          <cell r="K940">
            <v>0.1</v>
          </cell>
          <cell r="L940">
            <v>4109</v>
          </cell>
        </row>
        <row r="941">
          <cell r="C941">
            <v>8030020380</v>
          </cell>
          <cell r="D941" t="str">
            <v>暗装灯头深型圆接线盒(双直通)PVC电工套管配件白色 65x70/2I/Φ20 联塑</v>
          </cell>
          <cell r="E941" t="str">
            <v>PVC Conduit 2 Way Deep Through Box (conncealed installation) 65x70 / 2l / dn20 White - LESSO</v>
          </cell>
          <cell r="F941">
            <v>1</v>
          </cell>
          <cell r="G941">
            <v>4788</v>
          </cell>
          <cell r="H941">
            <v>4314</v>
          </cell>
          <cell r="I941">
            <v>0.12</v>
          </cell>
          <cell r="J941">
            <v>4903</v>
          </cell>
          <cell r="K941">
            <v>0.1</v>
          </cell>
          <cell r="L941">
            <v>4794</v>
          </cell>
        </row>
        <row r="942">
          <cell r="C942">
            <v>8030020118</v>
          </cell>
          <cell r="D942" t="str">
            <v>暗装灯头深型圆接线盒(四通)PVC电工套管配件白色 65x65/4/Φ16/65 联塑</v>
          </cell>
          <cell r="E942" t="str">
            <v>PVC Conduit 4 Way Deep Cross Box (conncealed installation 65x65 / 4 / dn16 / 65 White - LESSO</v>
          </cell>
          <cell r="F942">
            <v>1</v>
          </cell>
          <cell r="G942">
            <v>4788</v>
          </cell>
          <cell r="H942">
            <v>4314</v>
          </cell>
          <cell r="I942">
            <v>0.12</v>
          </cell>
          <cell r="J942">
            <v>4903</v>
          </cell>
          <cell r="K942">
            <v>0.1</v>
          </cell>
          <cell r="L942">
            <v>4794</v>
          </cell>
        </row>
        <row r="943">
          <cell r="C943">
            <v>8030020119</v>
          </cell>
          <cell r="D943" t="str">
            <v>暗装灯头深型圆接线盒(四通)PVC电工套管配件白色 65x65/4/Φ20 联塑</v>
          </cell>
          <cell r="E943" t="str">
            <v>PVC Conduit 4 Way Deep Cross Box (conncealed installation 65x65 / 4 / dn20 White - LESSO</v>
          </cell>
          <cell r="F943">
            <v>1</v>
          </cell>
          <cell r="G943">
            <v>4389</v>
          </cell>
          <cell r="H943">
            <v>3955</v>
          </cell>
          <cell r="I943">
            <v>0.12</v>
          </cell>
          <cell r="J943">
            <v>4495</v>
          </cell>
          <cell r="K943">
            <v>0.1</v>
          </cell>
          <cell r="L943">
            <v>4395</v>
          </cell>
        </row>
        <row r="944">
          <cell r="C944">
            <v>8030020120</v>
          </cell>
          <cell r="D944" t="str">
            <v>暗装灯头深型圆接线盒(四通)PVC电工套管配件白色 65x65/4/Φ25 联塑</v>
          </cell>
          <cell r="E944" t="str">
            <v>PVC Conduit 4 Way Deep Cross Box (conncealed installation 65x65 / 4 / dn25 White - LESSO</v>
          </cell>
          <cell r="F944">
            <v>1</v>
          </cell>
          <cell r="G944">
            <v>5187</v>
          </cell>
          <cell r="H944">
            <v>4673</v>
          </cell>
          <cell r="I944">
            <v>0.12</v>
          </cell>
          <cell r="J944">
            <v>5311</v>
          </cell>
          <cell r="K944">
            <v>0.1</v>
          </cell>
          <cell r="L944">
            <v>5193</v>
          </cell>
        </row>
        <row r="945">
          <cell r="C945">
            <v>8030020121</v>
          </cell>
          <cell r="D945" t="str">
            <v>暗装灯头深型圆接线盒(四通)PVC电工套管配件白色 65x70/4/Φ16 联塑</v>
          </cell>
          <cell r="E945" t="str">
            <v>PVC Conduit 4 Way Deep Cross Box (conncealed installation 65x70 / 4 / dn16 White - LESSO</v>
          </cell>
          <cell r="F945">
            <v>1</v>
          </cell>
          <cell r="G945">
            <v>5187</v>
          </cell>
          <cell r="H945">
            <v>4673</v>
          </cell>
          <cell r="I945">
            <v>0.12</v>
          </cell>
          <cell r="J945">
            <v>5311</v>
          </cell>
          <cell r="K945">
            <v>0.1</v>
          </cell>
          <cell r="L945">
            <v>5193</v>
          </cell>
        </row>
        <row r="946">
          <cell r="C946">
            <v>8030020122</v>
          </cell>
          <cell r="D946" t="str">
            <v>暗装灯头深型圆接线盒(四通)PVC电工套管配件白色 65x70/4/Φ20 联塑</v>
          </cell>
          <cell r="E946" t="str">
            <v>PVC Conduit 4 Way Deep Cross Box (conncealed installation 65x70 / 4 / dn20 White - LESSO</v>
          </cell>
          <cell r="F946">
            <v>1</v>
          </cell>
          <cell r="G946">
            <v>5187</v>
          </cell>
          <cell r="H946">
            <v>4673</v>
          </cell>
          <cell r="I946">
            <v>0.12</v>
          </cell>
          <cell r="J946">
            <v>5311</v>
          </cell>
          <cell r="K946">
            <v>0.1</v>
          </cell>
          <cell r="L946">
            <v>5193</v>
          </cell>
        </row>
        <row r="947">
          <cell r="C947">
            <v>8030020123</v>
          </cell>
          <cell r="D947" t="str">
            <v>暗装灯头深型圆接线盒(四通)PVC电工套管配件白色 65x70/4/Φ25 联塑</v>
          </cell>
          <cell r="E947" t="str">
            <v>PVC Conduit 4 Way Deep Cross Box (conncealed installation 65x70 / 4 / dn25 White - LESSO</v>
          </cell>
          <cell r="F947">
            <v>1</v>
          </cell>
          <cell r="G947">
            <v>6783</v>
          </cell>
          <cell r="H947">
            <v>6111</v>
          </cell>
          <cell r="I947">
            <v>0.12</v>
          </cell>
          <cell r="J947">
            <v>6945</v>
          </cell>
          <cell r="K947">
            <v>0.1</v>
          </cell>
          <cell r="L947">
            <v>6790</v>
          </cell>
        </row>
        <row r="948">
          <cell r="C948">
            <v>8030020140</v>
          </cell>
          <cell r="D948" t="str">
            <v>管接头PVC电工套管配件白色 Φ16 联塑</v>
          </cell>
          <cell r="E948" t="str">
            <v>PVC Flexible Coupling dn16 White - LESSO</v>
          </cell>
          <cell r="F948">
            <v>1</v>
          </cell>
          <cell r="G948">
            <v>399</v>
          </cell>
          <cell r="H948">
            <v>360</v>
          </cell>
          <cell r="I948">
            <v>0.12</v>
          </cell>
          <cell r="J948">
            <v>410</v>
          </cell>
          <cell r="K948">
            <v>0.1</v>
          </cell>
          <cell r="L948">
            <v>400</v>
          </cell>
        </row>
        <row r="949">
          <cell r="C949">
            <v>8030020141</v>
          </cell>
          <cell r="D949" t="str">
            <v>管接头PVC电工套管配件白色 Φ20 联塑</v>
          </cell>
          <cell r="E949" t="str">
            <v>PVC Conduit Flexible Coupling dn20 White - LESSO</v>
          </cell>
          <cell r="F949">
            <v>1</v>
          </cell>
          <cell r="G949">
            <v>456</v>
          </cell>
          <cell r="H949">
            <v>411</v>
          </cell>
          <cell r="I949">
            <v>0.12</v>
          </cell>
          <cell r="J949">
            <v>468</v>
          </cell>
          <cell r="K949">
            <v>0.1</v>
          </cell>
          <cell r="L949">
            <v>457</v>
          </cell>
        </row>
        <row r="950">
          <cell r="C950">
            <v>8030020142</v>
          </cell>
          <cell r="D950" t="str">
            <v>管接头PVC电工套管配件白色 Φ25 联塑</v>
          </cell>
          <cell r="E950" t="str">
            <v>PVC Conduit Flexible Coupling dn25 White - LESSO</v>
          </cell>
          <cell r="F950">
            <v>1</v>
          </cell>
          <cell r="G950">
            <v>646</v>
          </cell>
          <cell r="H950">
            <v>582</v>
          </cell>
          <cell r="I950">
            <v>0.12</v>
          </cell>
          <cell r="J950">
            <v>662</v>
          </cell>
          <cell r="K950">
            <v>0.1</v>
          </cell>
          <cell r="L950">
            <v>647</v>
          </cell>
        </row>
        <row r="951">
          <cell r="C951">
            <v>8030020143</v>
          </cell>
          <cell r="D951" t="str">
            <v>管接头PVC电工套管配件白色 Φ32 联塑</v>
          </cell>
          <cell r="E951" t="str">
            <v>PVC Conduit Flexible Coupling dn32 White - LESSO</v>
          </cell>
          <cell r="F951">
            <v>1</v>
          </cell>
          <cell r="G951">
            <v>1102</v>
          </cell>
          <cell r="H951">
            <v>993</v>
          </cell>
          <cell r="I951">
            <v>0.12</v>
          </cell>
          <cell r="J951">
            <v>1129</v>
          </cell>
          <cell r="K951">
            <v>0.1</v>
          </cell>
          <cell r="L951">
            <v>1104</v>
          </cell>
        </row>
        <row r="952">
          <cell r="C952">
            <v>8030020144</v>
          </cell>
          <cell r="D952" t="str">
            <v>管接头PVC电工套管配件白色 Φ40 联塑</v>
          </cell>
          <cell r="E952" t="str">
            <v>PVC Conduit Flexible Coupling dn40 White - LESSO</v>
          </cell>
          <cell r="F952">
            <v>1</v>
          </cell>
          <cell r="G952">
            <v>3914</v>
          </cell>
          <cell r="H952">
            <v>3527</v>
          </cell>
          <cell r="I952">
            <v>0.12</v>
          </cell>
          <cell r="J952">
            <v>4008</v>
          </cell>
          <cell r="K952">
            <v>0.1</v>
          </cell>
          <cell r="L952">
            <v>3919</v>
          </cell>
        </row>
        <row r="953">
          <cell r="C953">
            <v>8030020155</v>
          </cell>
          <cell r="D953" t="str">
            <v>异径管接头PVC电工套管配件白色 Φ20x16 联塑</v>
          </cell>
          <cell r="E953" t="str">
            <v>PVC Conduit Reducer Coupling dn20x16 White - LESSO</v>
          </cell>
          <cell r="F953">
            <v>1</v>
          </cell>
          <cell r="G953">
            <v>798</v>
          </cell>
          <cell r="H953">
            <v>719</v>
          </cell>
          <cell r="I953">
            <v>0.12</v>
          </cell>
          <cell r="J953">
            <v>818</v>
          </cell>
          <cell r="K953">
            <v>0.1</v>
          </cell>
          <cell r="L953">
            <v>799</v>
          </cell>
        </row>
        <row r="954">
          <cell r="C954">
            <v>8030020401</v>
          </cell>
          <cell r="D954" t="str">
            <v>异径管接头PVC电工套管配件白色 Φ32x20 联塑</v>
          </cell>
          <cell r="E954" t="str">
            <v>PVC Conduit Flexible Reducer dn32x20 White - LESSO</v>
          </cell>
          <cell r="F954">
            <v>1</v>
          </cell>
          <cell r="G954">
            <v>1197</v>
          </cell>
          <cell r="H954">
            <v>1079</v>
          </cell>
          <cell r="I954">
            <v>0.12</v>
          </cell>
          <cell r="J954">
            <v>1227</v>
          </cell>
          <cell r="K954">
            <v>0.1</v>
          </cell>
          <cell r="L954">
            <v>1199</v>
          </cell>
        </row>
        <row r="955">
          <cell r="C955">
            <v>8030020402</v>
          </cell>
          <cell r="D955" t="str">
            <v>异径管接头PVC电工套管配件白色 Φ32x25 联塑</v>
          </cell>
          <cell r="E955" t="str">
            <v>PVC Conduit Flexible Reducer dn32x25 White - LESSO</v>
          </cell>
          <cell r="F955">
            <v>1</v>
          </cell>
          <cell r="G955">
            <v>1197</v>
          </cell>
          <cell r="H955">
            <v>1079</v>
          </cell>
          <cell r="I955">
            <v>0.12</v>
          </cell>
          <cell r="J955">
            <v>1227</v>
          </cell>
          <cell r="K955">
            <v>0.1</v>
          </cell>
          <cell r="L955">
            <v>1199</v>
          </cell>
        </row>
        <row r="956">
          <cell r="C956">
            <v>8030020044</v>
          </cell>
          <cell r="D956" t="str">
            <v>中国(国标)暗装开关盒(带塑料脚)PVC电工配白 77×77/Φ20/H38 联塑</v>
          </cell>
          <cell r="E956" t="str">
            <v>PVC Conduit Gang Box (With Active Foot, Concealed Installation) 77x77 / dn20 / H38 White - LESSO</v>
          </cell>
          <cell r="F956">
            <v>1</v>
          </cell>
          <cell r="G956">
            <v>2850</v>
          </cell>
          <cell r="H956">
            <v>2568</v>
          </cell>
          <cell r="I956">
            <v>0.12</v>
          </cell>
          <cell r="J956">
            <v>2919</v>
          </cell>
          <cell r="K956">
            <v>0.1</v>
          </cell>
          <cell r="L956">
            <v>2854</v>
          </cell>
        </row>
        <row r="957">
          <cell r="C957">
            <v>8030020045</v>
          </cell>
          <cell r="D957" t="str">
            <v>暗装开关盒(带塑料脚)PVC电工配白 77x77/Φ20/H48 联塑</v>
          </cell>
          <cell r="E957" t="str">
            <v>PVC Conduit Deep Gang Box (With Active Foot, conncealed Installation) 77x77 / dn20 / H48 White - LESSO</v>
          </cell>
          <cell r="F957">
            <v>1</v>
          </cell>
          <cell r="G957">
            <v>3154</v>
          </cell>
          <cell r="H957">
            <v>2842</v>
          </cell>
          <cell r="I957">
            <v>0.12</v>
          </cell>
          <cell r="J957">
            <v>3230</v>
          </cell>
          <cell r="K957">
            <v>0.1</v>
          </cell>
          <cell r="L957">
            <v>3158</v>
          </cell>
        </row>
        <row r="958">
          <cell r="C958">
            <v>8030020046</v>
          </cell>
          <cell r="D958" t="str">
            <v>暗装开关盒(带塑料脚)PVC电工配白 77x77/Φ20Φ25/H38 联塑</v>
          </cell>
          <cell r="E958" t="str">
            <v>PVC Conduit Gang Box (With Active Foot, conncealed Installation) 77x77 / dn20 dn25 / H38 White - LESSO</v>
          </cell>
          <cell r="F958">
            <v>1</v>
          </cell>
          <cell r="G958">
            <v>2850</v>
          </cell>
          <cell r="H958">
            <v>2568</v>
          </cell>
          <cell r="I958">
            <v>0.12</v>
          </cell>
          <cell r="J958">
            <v>2919</v>
          </cell>
          <cell r="K958">
            <v>0.1</v>
          </cell>
          <cell r="L958">
            <v>2854</v>
          </cell>
        </row>
        <row r="959">
          <cell r="C959">
            <v>8030020047</v>
          </cell>
          <cell r="D959" t="str">
            <v>暗装开关盒(带塑料脚)PVC电工配白 77x77/Φ20Φ25/H48 联塑</v>
          </cell>
          <cell r="E959" t="str">
            <v>PVC Conduit Deep Gang Box (With Active Foot, conncealed Installation) 77x77 / dn20 dn25 / H48 White - LESSO</v>
          </cell>
          <cell r="F959">
            <v>1</v>
          </cell>
          <cell r="G959">
            <v>3154</v>
          </cell>
          <cell r="H959">
            <v>2842</v>
          </cell>
          <cell r="I959">
            <v>0.12</v>
          </cell>
          <cell r="J959">
            <v>3230</v>
          </cell>
          <cell r="K959">
            <v>0.1</v>
          </cell>
          <cell r="L959">
            <v>3158</v>
          </cell>
        </row>
        <row r="960">
          <cell r="C960">
            <v>8030020062</v>
          </cell>
          <cell r="D960" t="str">
            <v>暗装开关盒(带塑料脚)PVC电工配白77x77/Φ20/H56 联塑</v>
          </cell>
          <cell r="E960" t="str">
            <v>PVC Conduit GANG Box (through reinforcement type, conncealed INSTALLATION) 77x77 / dn20 / H56 White - LESSO</v>
          </cell>
          <cell r="F960">
            <v>1</v>
          </cell>
          <cell r="G960">
            <v>3990</v>
          </cell>
          <cell r="H960">
            <v>3595</v>
          </cell>
          <cell r="I960">
            <v>0.12</v>
          </cell>
          <cell r="J960">
            <v>4086</v>
          </cell>
          <cell r="K960">
            <v>0.1</v>
          </cell>
          <cell r="L960">
            <v>3995</v>
          </cell>
        </row>
        <row r="961">
          <cell r="C961">
            <v>8030020063</v>
          </cell>
          <cell r="D961" t="str">
            <v>暗装开关盒(带塑料脚)PVC电工配白77x77/Φ20/H70 联塑</v>
          </cell>
          <cell r="E961" t="str">
            <v>PVC Conduit Gang Box (with active foot, conncealed installation) 77x77 / dn20 / H70 White - LESSO</v>
          </cell>
          <cell r="F961">
            <v>1</v>
          </cell>
          <cell r="G961">
            <v>3990</v>
          </cell>
          <cell r="H961">
            <v>3595</v>
          </cell>
          <cell r="I961">
            <v>0.12</v>
          </cell>
          <cell r="J961">
            <v>4086</v>
          </cell>
          <cell r="K961">
            <v>0.1</v>
          </cell>
          <cell r="L961">
            <v>3995</v>
          </cell>
        </row>
        <row r="962">
          <cell r="C962">
            <v>8030020064</v>
          </cell>
          <cell r="D962" t="str">
            <v>暗装开关盒(带塑料脚)PVC电工配白77x77/Φ20Φ25/H56 联塑</v>
          </cell>
          <cell r="E962" t="str">
            <v>PVC Conduit Gang Box (with active foot, conncealed installation) 77x77 / dn20 / dn25 / H56 White - LESSO</v>
          </cell>
          <cell r="F962">
            <v>1</v>
          </cell>
          <cell r="G962">
            <v>3990</v>
          </cell>
          <cell r="H962">
            <v>3595</v>
          </cell>
          <cell r="I962">
            <v>0.12</v>
          </cell>
          <cell r="J962">
            <v>4086</v>
          </cell>
          <cell r="K962">
            <v>0.1</v>
          </cell>
          <cell r="L962">
            <v>3995</v>
          </cell>
        </row>
        <row r="963">
          <cell r="C963">
            <v>8030020065</v>
          </cell>
          <cell r="D963" t="str">
            <v>暗装开关盒(带塑料脚)PVC电工配白77x77/Φ20Φ25/H70 联塑</v>
          </cell>
          <cell r="E963" t="str">
            <v>PVC Conduit Gang Box (with active foot, conncealed installation) 77x77 / dn20 / dn25 / H70 White - LESSO</v>
          </cell>
          <cell r="F963">
            <v>1</v>
          </cell>
          <cell r="G963">
            <v>3990</v>
          </cell>
          <cell r="H963">
            <v>3595</v>
          </cell>
          <cell r="I963">
            <v>0.12</v>
          </cell>
          <cell r="J963">
            <v>4086</v>
          </cell>
          <cell r="K963">
            <v>0.1</v>
          </cell>
          <cell r="L963">
            <v>3995</v>
          </cell>
        </row>
        <row r="964">
          <cell r="C964">
            <v>8030020052</v>
          </cell>
          <cell r="D964" t="str">
            <v>中国(国标)暗装开关盒(带塑料脚)PVC电工配白164×77Φ16×2Φ20Φ25/H38 联塑</v>
          </cell>
          <cell r="E964" t="str">
            <v>PVC Conduit GANG Box (WITH ACTIVE FOOT, CONCEALED INSTALLATION) 164x77 / dn16x2 dn20 dn25 / H38 White - LESSO</v>
          </cell>
          <cell r="F964">
            <v>1</v>
          </cell>
          <cell r="G964">
            <v>5586</v>
          </cell>
          <cell r="H964">
            <v>5033</v>
          </cell>
          <cell r="I964">
            <v>0.12</v>
          </cell>
          <cell r="J964">
            <v>5720</v>
          </cell>
          <cell r="K964">
            <v>0.1</v>
          </cell>
          <cell r="L964">
            <v>5593</v>
          </cell>
        </row>
        <row r="965">
          <cell r="C965">
            <v>8030020053</v>
          </cell>
          <cell r="D965" t="str">
            <v>中国(国标)暗装开关盒(带塑料脚)PVC电工配白255×75Φ20×2Φ25×2/H50 联塑</v>
          </cell>
          <cell r="E965" t="str">
            <v>PVC Conduit GANG Box (WITH ACTIVE FOOT, CONCEALED INSTALLATION) 255x75 / dn20x2 dn50x2 / H50 White - LESSO</v>
          </cell>
          <cell r="F965">
            <v>1</v>
          </cell>
          <cell r="G965">
            <v>10773</v>
          </cell>
          <cell r="H965">
            <v>9706</v>
          </cell>
          <cell r="I965">
            <v>0.12</v>
          </cell>
          <cell r="J965">
            <v>11030</v>
          </cell>
          <cell r="K965">
            <v>0.1</v>
          </cell>
          <cell r="L965">
            <v>10785</v>
          </cell>
        </row>
        <row r="966">
          <cell r="C966">
            <v>8030020054</v>
          </cell>
          <cell r="D966" t="str">
            <v>暗装开关盒(带塑料脚)PVC电工配白164x77Φ20x2Φ25x2/H50 联塑</v>
          </cell>
          <cell r="E966" t="str">
            <v>PVC Conduit GANG Box (WITH ACTIVE FOOT, conncealed INSTALLATION) 164x77 / dn20x2 dn25x2 / H50 White - LESSO</v>
          </cell>
          <cell r="F966">
            <v>1</v>
          </cell>
          <cell r="G966">
            <v>6783</v>
          </cell>
          <cell r="H966">
            <v>6111</v>
          </cell>
          <cell r="I966">
            <v>0.12</v>
          </cell>
          <cell r="J966">
            <v>6945</v>
          </cell>
          <cell r="K966">
            <v>0.1</v>
          </cell>
          <cell r="L966">
            <v>6790</v>
          </cell>
        </row>
        <row r="967">
          <cell r="C967">
            <v>8030020055</v>
          </cell>
          <cell r="D967" t="str">
            <v>暗装开关盒(带塑料脚)PVC电工配白141x80/Φ20/H50 联塑</v>
          </cell>
          <cell r="E967" t="str">
            <v>PVC Conduit GANG Box (WITH ACTIVE FOOT, conncealed INSTALLATION) 141x80 / dn20 / H50 White - LESSO</v>
          </cell>
          <cell r="F967">
            <v>1</v>
          </cell>
          <cell r="G967">
            <v>4788</v>
          </cell>
          <cell r="H967">
            <v>4314</v>
          </cell>
          <cell r="I967">
            <v>0.12</v>
          </cell>
          <cell r="J967">
            <v>4903</v>
          </cell>
          <cell r="K967">
            <v>0.1</v>
          </cell>
          <cell r="L967">
            <v>4794</v>
          </cell>
        </row>
        <row r="968">
          <cell r="C968">
            <v>8030020066</v>
          </cell>
          <cell r="D968" t="str">
            <v>暗装拼装开关盒(带金属片)PVC电工配白 81x81/Φ20/H50 联塑</v>
          </cell>
          <cell r="E968" t="str">
            <v>PVC Conduit Deeper Assembling Gang Box (through reinforcement type, conncealed installation) 81x81 / dn20 / H50 White - LESSO</v>
          </cell>
          <cell r="F968">
            <v>1</v>
          </cell>
          <cell r="G968">
            <v>3591</v>
          </cell>
          <cell r="H968">
            <v>3236</v>
          </cell>
          <cell r="I968">
            <v>0.12</v>
          </cell>
          <cell r="J968">
            <v>3678</v>
          </cell>
          <cell r="K968">
            <v>0.1</v>
          </cell>
          <cell r="L968">
            <v>3596</v>
          </cell>
        </row>
        <row r="969">
          <cell r="C969">
            <v>8030021130</v>
          </cell>
          <cell r="D969" t="str">
            <v>暗装拼装开关盒(带金属片)PVC电工配白 81x81/Φ25/H50 联塑</v>
          </cell>
          <cell r="E969" t="str">
            <v>PVC Conduit Deeper Assembling Gang Box (through reinforcement type, conncealed installation) 81x81 / dn25 / H50 White - LESSO</v>
          </cell>
          <cell r="F969">
            <v>1</v>
          </cell>
          <cell r="G969">
            <v>3591</v>
          </cell>
          <cell r="H969">
            <v>3236</v>
          </cell>
          <cell r="I969">
            <v>0.12</v>
          </cell>
          <cell r="J969">
            <v>3678</v>
          </cell>
          <cell r="K969">
            <v>0.1</v>
          </cell>
          <cell r="L969">
            <v>3596</v>
          </cell>
        </row>
        <row r="970">
          <cell r="C970">
            <v>8030020917</v>
          </cell>
          <cell r="D970" t="str">
            <v>暗装中穿筋开关盒(带金属片)PVC电工配白77x77/Φ20/H60 联塑</v>
          </cell>
          <cell r="E970" t="str">
            <v>PVC Conduit Insert Reinforce Lengthened Assembling Gang Box (Through Reinforcement Type, conncealed Installation) 77x77 / dn20 / H60 White - LESSO</v>
          </cell>
          <cell r="F970">
            <v>1</v>
          </cell>
          <cell r="G970">
            <v>4636</v>
          </cell>
          <cell r="H970">
            <v>4177</v>
          </cell>
          <cell r="I970">
            <v>0.12</v>
          </cell>
          <cell r="J970">
            <v>4747</v>
          </cell>
          <cell r="K970">
            <v>0.1</v>
          </cell>
          <cell r="L970">
            <v>4642</v>
          </cell>
        </row>
        <row r="971">
          <cell r="C971">
            <v>8030020864</v>
          </cell>
          <cell r="D971" t="str">
            <v>暗装中穿筋开关盒(带金属片)PVC电工配白77x77/Φ20/H70 联塑</v>
          </cell>
          <cell r="E971" t="str">
            <v>PVC Conduit Insert Reinforce Lengthened Assembling Gang Box (Through Reinforcement Type, conncealed Installation) 77x77 / dn20 / H70 White - LESSO</v>
          </cell>
          <cell r="F971">
            <v>1</v>
          </cell>
          <cell r="G971">
            <v>5586</v>
          </cell>
          <cell r="H971">
            <v>5033</v>
          </cell>
          <cell r="I971">
            <v>0.12</v>
          </cell>
          <cell r="J971">
            <v>5720</v>
          </cell>
          <cell r="K971">
            <v>0.1</v>
          </cell>
          <cell r="L971">
            <v>5593</v>
          </cell>
        </row>
        <row r="972">
          <cell r="C972">
            <v>8030020865</v>
          </cell>
          <cell r="D972" t="str">
            <v>暗装中穿筋开关盒(带金属片)PVC电工配白77x77/Φ20Φ25/H70 联塑</v>
          </cell>
          <cell r="E972" t="str">
            <v>PVC Conduit Insert Reinforce Lengthened Assembling Gang Box (Through Reinforcement Type, conncealed Installation) 77x77 / dn20 dn25 / H70 White - LESSO</v>
          </cell>
          <cell r="F972">
            <v>1</v>
          </cell>
          <cell r="G972">
            <v>5016</v>
          </cell>
          <cell r="H972">
            <v>4519</v>
          </cell>
          <cell r="I972">
            <v>0.12</v>
          </cell>
          <cell r="J972">
            <v>5136</v>
          </cell>
          <cell r="K972">
            <v>0.1</v>
          </cell>
          <cell r="L972">
            <v>5022</v>
          </cell>
        </row>
        <row r="973">
          <cell r="C973">
            <v>8030020071</v>
          </cell>
          <cell r="D973" t="str">
            <v>明装开关盒PVC电工配白86x86/Φ20Φ25/H40 联塑</v>
          </cell>
          <cell r="E973" t="str">
            <v>PVC Conduit Gang Box (Surface Installation) 86x86 / dn20 dn25 / H40 White - LESSO</v>
          </cell>
          <cell r="F973">
            <v>1</v>
          </cell>
          <cell r="G973">
            <v>2964</v>
          </cell>
          <cell r="H973">
            <v>2671</v>
          </cell>
          <cell r="I973">
            <v>0.12</v>
          </cell>
          <cell r="J973">
            <v>3036</v>
          </cell>
          <cell r="K973">
            <v>0.1</v>
          </cell>
          <cell r="L973">
            <v>2968</v>
          </cell>
        </row>
        <row r="974">
          <cell r="C974">
            <v>8030021168</v>
          </cell>
          <cell r="D974" t="str">
            <v>明装开关盒PVC电工配白86x86/Φ20/H40 联塑</v>
          </cell>
          <cell r="E974" t="str">
            <v>PVC Conduit Gang Box (Surface Installation) 86x86 dn20 / H40 - Single White - LESSO</v>
          </cell>
          <cell r="F974">
            <v>1</v>
          </cell>
          <cell r="G974">
            <v>3990</v>
          </cell>
          <cell r="H974">
            <v>3595</v>
          </cell>
          <cell r="I974">
            <v>0.12</v>
          </cell>
          <cell r="J974">
            <v>4086</v>
          </cell>
          <cell r="K974">
            <v>0.1</v>
          </cell>
          <cell r="L974">
            <v>3995</v>
          </cell>
        </row>
        <row r="975">
          <cell r="C975">
            <v>8030020070</v>
          </cell>
          <cell r="D975" t="str">
            <v>明装开关盒PVC电工配白86x86/Φ20/H54 联塑</v>
          </cell>
          <cell r="E975" t="str">
            <v>PVC Conduit Gang Box (Surface Installation) 86x86 / dn20 / 54 White - LESSO</v>
          </cell>
          <cell r="F975">
            <v>1</v>
          </cell>
          <cell r="G975">
            <v>3610</v>
          </cell>
          <cell r="H975">
            <v>3253</v>
          </cell>
          <cell r="I975">
            <v>0.12</v>
          </cell>
          <cell r="J975">
            <v>3697</v>
          </cell>
          <cell r="K975">
            <v>0.1</v>
          </cell>
          <cell r="L975">
            <v>3615</v>
          </cell>
        </row>
        <row r="976">
          <cell r="C976">
            <v>8030020072</v>
          </cell>
          <cell r="D976" t="str">
            <v>明装开关盒PVC电工配白86x86/Φ20Φ25/H54 联塑</v>
          </cell>
          <cell r="E976" t="str">
            <v>PVC Conduit Gang Box (Surface Instalation) 86x86 / dn20 dn25 / H54 White - LESSO</v>
          </cell>
          <cell r="F976">
            <v>1</v>
          </cell>
          <cell r="G976">
            <v>3610</v>
          </cell>
          <cell r="H976">
            <v>3253</v>
          </cell>
          <cell r="I976">
            <v>0.12</v>
          </cell>
          <cell r="J976">
            <v>3697</v>
          </cell>
          <cell r="K976">
            <v>0.1</v>
          </cell>
          <cell r="L976">
            <v>3615</v>
          </cell>
        </row>
        <row r="977">
          <cell r="C977">
            <v>8030020068</v>
          </cell>
          <cell r="D977" t="str">
            <v>明装开关盒PVC电工配白86x86/Φ20/H46 联塑</v>
          </cell>
          <cell r="E977" t="str">
            <v>PVC Conduit Gang Box (Thickened, Surface Installation) 86x86 / dn20 / 46 White - LESSO</v>
          </cell>
          <cell r="F977">
            <v>1</v>
          </cell>
          <cell r="G977">
            <v>3192</v>
          </cell>
          <cell r="H977">
            <v>2876</v>
          </cell>
          <cell r="I977">
            <v>0.12</v>
          </cell>
          <cell r="J977">
            <v>3269</v>
          </cell>
          <cell r="K977">
            <v>0.1</v>
          </cell>
          <cell r="L977">
            <v>3196</v>
          </cell>
        </row>
        <row r="978">
          <cell r="C978">
            <v>8030020069</v>
          </cell>
          <cell r="D978" t="str">
            <v>明装开关盒PVC电工配白86x86/Φ20Φ25/H46 联塑</v>
          </cell>
          <cell r="E978" t="str">
            <v>PVC Conduit Gang Box (Thickened, Surface Installation) 86x86 / dn20 dn25 / 46 White - LESSO</v>
          </cell>
          <cell r="F978">
            <v>1</v>
          </cell>
          <cell r="G978">
            <v>3762</v>
          </cell>
          <cell r="H978">
            <v>3390</v>
          </cell>
          <cell r="I978">
            <v>0.12</v>
          </cell>
          <cell r="J978">
            <v>3853</v>
          </cell>
          <cell r="K978">
            <v>0.1</v>
          </cell>
          <cell r="L978">
            <v>3767</v>
          </cell>
        </row>
        <row r="979">
          <cell r="C979">
            <v>8030020056</v>
          </cell>
          <cell r="D979" t="str">
            <v>暗装开关盒(带金属片)PVC电工配白77x77/Φ20/H50 联塑</v>
          </cell>
          <cell r="E979" t="str">
            <v>PVC Conduit Gang Box (through reinforcement type, conncealed installation) 77x77 / dn20 / H50 White - LESSO</v>
          </cell>
          <cell r="F979">
            <v>1</v>
          </cell>
          <cell r="G979">
            <v>3591</v>
          </cell>
          <cell r="H979">
            <v>3236</v>
          </cell>
          <cell r="I979">
            <v>0.12</v>
          </cell>
          <cell r="J979">
            <v>3678</v>
          </cell>
          <cell r="K979">
            <v>0.1</v>
          </cell>
          <cell r="L979">
            <v>3596</v>
          </cell>
        </row>
        <row r="980">
          <cell r="C980">
            <v>8030020057</v>
          </cell>
          <cell r="D980" t="str">
            <v>暗装开关盒(带金属片)PVC电工配白77x77/Φ20/H60 联塑</v>
          </cell>
          <cell r="E980" t="str">
            <v>PVC Conduit GANG Box (THROUGH REINFORCEMENT TYPE, CONNCEALED INSTALLATION) 77x77 / dn20 / H60 White - LESSO</v>
          </cell>
          <cell r="F980">
            <v>1</v>
          </cell>
          <cell r="G980">
            <v>4389</v>
          </cell>
          <cell r="H980">
            <v>3955</v>
          </cell>
          <cell r="I980">
            <v>0.12</v>
          </cell>
          <cell r="J980">
            <v>4495</v>
          </cell>
          <cell r="K980">
            <v>0.1</v>
          </cell>
          <cell r="L980">
            <v>4395</v>
          </cell>
        </row>
        <row r="981">
          <cell r="C981">
            <v>8030020058</v>
          </cell>
          <cell r="D981" t="str">
            <v>暗装开关盒(带金属片)PVC电工配白77x77/Φ20/H70 联塑</v>
          </cell>
          <cell r="E981" t="str">
            <v>PVC Conduit Gang Box (through reinforcement type, conncealed installation) 77x77 / dn20 / H70 White - LESSO</v>
          </cell>
          <cell r="F981">
            <v>1</v>
          </cell>
          <cell r="G981">
            <v>4788</v>
          </cell>
          <cell r="H981">
            <v>4314</v>
          </cell>
          <cell r="I981">
            <v>0.12</v>
          </cell>
          <cell r="J981">
            <v>4903</v>
          </cell>
          <cell r="K981">
            <v>0.1</v>
          </cell>
          <cell r="L981">
            <v>4794</v>
          </cell>
        </row>
        <row r="982">
          <cell r="C982">
            <v>8030020562</v>
          </cell>
          <cell r="D982" t="str">
            <v>暗装开关盒(带金属片)PVC电工配白77x77/Φ20Φ25/H50 联塑</v>
          </cell>
          <cell r="E982" t="str">
            <v>PVC Conduit Gang Box (through reinforcement type, conncealed installation) 77x77 / dn20 dn25 / H50 White - LESSO</v>
          </cell>
          <cell r="F982">
            <v>1</v>
          </cell>
          <cell r="G982">
            <v>2109</v>
          </cell>
          <cell r="H982">
            <v>1900</v>
          </cell>
          <cell r="I982">
            <v>0.12</v>
          </cell>
          <cell r="J982">
            <v>2160</v>
          </cell>
          <cell r="K982">
            <v>0.1</v>
          </cell>
          <cell r="L982">
            <v>2112</v>
          </cell>
        </row>
        <row r="983">
          <cell r="C983">
            <v>8030020059</v>
          </cell>
          <cell r="D983" t="str">
            <v>暗装开关盒(带金属片)PVC电工配白77x77/Φ20Φ25/H60 联塑</v>
          </cell>
          <cell r="E983" t="str">
            <v>PVC Conduit GANG Box (THROUGH REINFORCEMENT TYPE, CONNCEALED INSTALLATION) 77x77 / dn20 dn25 / H60 White - LESSO</v>
          </cell>
          <cell r="F983">
            <v>1</v>
          </cell>
          <cell r="G983">
            <v>4788</v>
          </cell>
          <cell r="H983">
            <v>4314</v>
          </cell>
          <cell r="I983">
            <v>0.12</v>
          </cell>
          <cell r="J983">
            <v>4903</v>
          </cell>
          <cell r="K983">
            <v>0.1</v>
          </cell>
          <cell r="L983">
            <v>4794</v>
          </cell>
        </row>
        <row r="984">
          <cell r="C984">
            <v>8030020060</v>
          </cell>
          <cell r="D984" t="str">
            <v>暗装开关盒(带金属片)PVC电工配白77x77/Φ20Φ25/H70 联塑</v>
          </cell>
          <cell r="E984" t="str">
            <v>PVC Conduit Gang Box (through reinforcement type, conncealed installation) 77x77 / dn20 dn25 / H70 White - LESSO</v>
          </cell>
          <cell r="F984">
            <v>1</v>
          </cell>
          <cell r="G984">
            <v>4788</v>
          </cell>
          <cell r="H984">
            <v>4314</v>
          </cell>
          <cell r="I984">
            <v>0.12</v>
          </cell>
          <cell r="J984">
            <v>4903</v>
          </cell>
          <cell r="K984">
            <v>0.1</v>
          </cell>
          <cell r="L984">
            <v>4794</v>
          </cell>
        </row>
        <row r="985">
          <cell r="C985">
            <v>8030020918</v>
          </cell>
          <cell r="D985" t="str">
            <v>暗装下穿筋开关盒(带金属片)PVC电工配白77x77/Φ20/H60 联塑</v>
          </cell>
          <cell r="E985" t="str">
            <v>PVC Conduit GANG Box (THROUGH REINFORCEMENT TYPE, CONNCEALED INSTALLATION) 77x77 / dn20 / H60 White - LESSO</v>
          </cell>
          <cell r="F985">
            <v>1</v>
          </cell>
          <cell r="G985">
            <v>4788</v>
          </cell>
          <cell r="H985">
            <v>4314</v>
          </cell>
          <cell r="I985">
            <v>0.12</v>
          </cell>
          <cell r="J985">
            <v>4903</v>
          </cell>
          <cell r="K985">
            <v>0.1</v>
          </cell>
          <cell r="L985">
            <v>4794</v>
          </cell>
        </row>
        <row r="986">
          <cell r="C986">
            <v>8030020618</v>
          </cell>
          <cell r="D986" t="str">
            <v>暗装下穿筋开关盒(带金属片)PVC电工配白77x77/Φ20/H70 联塑</v>
          </cell>
          <cell r="E986" t="str">
            <v>PVC Conduit GANG Box (THROUGH REINFORCEMENT TYPE, CONNCEALED INSTALLATION) 77x77 / dn20 / H70 White - LESSO</v>
          </cell>
          <cell r="F986">
            <v>1</v>
          </cell>
          <cell r="G986">
            <v>5187</v>
          </cell>
          <cell r="H986">
            <v>4673</v>
          </cell>
          <cell r="I986">
            <v>0.12</v>
          </cell>
          <cell r="J986">
            <v>5311</v>
          </cell>
          <cell r="K986">
            <v>0.1</v>
          </cell>
          <cell r="L986">
            <v>5193</v>
          </cell>
        </row>
        <row r="987">
          <cell r="C987">
            <v>8030020619</v>
          </cell>
          <cell r="D987" t="str">
            <v>暗装下穿筋开关盒(带金属片)PVC电工配白77x77/Φ20Φ25/H70 联塑</v>
          </cell>
          <cell r="E987" t="str">
            <v>PVC Conduit GANG Box (THROUGH REINFORCEMENT TYPE, CONNCEALED INSTALLATION) 77x77 / dn20 dn25 / H70 White - LESSO</v>
          </cell>
          <cell r="F987">
            <v>1</v>
          </cell>
          <cell r="G987">
            <v>5187</v>
          </cell>
          <cell r="H987">
            <v>4673</v>
          </cell>
          <cell r="I987">
            <v>0.12</v>
          </cell>
          <cell r="J987">
            <v>5311</v>
          </cell>
          <cell r="K987">
            <v>0.1</v>
          </cell>
          <cell r="L987">
            <v>5193</v>
          </cell>
        </row>
        <row r="988">
          <cell r="C988">
            <v>8030020617</v>
          </cell>
          <cell r="D988" t="str">
            <v>暗装开关盒Ⅲ型PVC电工配白77x77/Φ20/H50 联塑</v>
          </cell>
          <cell r="E988" t="str">
            <v>PVC Conduit Gang Box (type III, conncealed installation) 77x77 / dn20 / H50 White - LESSO</v>
          </cell>
          <cell r="F988">
            <v>1</v>
          </cell>
          <cell r="G988">
            <v>3192</v>
          </cell>
          <cell r="H988">
            <v>2876</v>
          </cell>
          <cell r="I988">
            <v>0.12</v>
          </cell>
          <cell r="J988">
            <v>3269</v>
          </cell>
          <cell r="K988">
            <v>0.1</v>
          </cell>
          <cell r="L988">
            <v>3196</v>
          </cell>
        </row>
        <row r="989">
          <cell r="C989">
            <v>8030020620</v>
          </cell>
          <cell r="D989" t="str">
            <v>暗装开关盒(带金属片)PVC电工配白141x80/Φ20/H50 联塑</v>
          </cell>
          <cell r="E989" t="str">
            <v>PVC Conduit Gang Box (through reinforcement type, conncealed installation) 141x80 / dn20 / H50 White - LESSO</v>
          </cell>
          <cell r="F989">
            <v>1</v>
          </cell>
          <cell r="G989">
            <v>4788</v>
          </cell>
          <cell r="H989">
            <v>4314</v>
          </cell>
          <cell r="I989">
            <v>0.12</v>
          </cell>
          <cell r="J989">
            <v>4903</v>
          </cell>
          <cell r="K989">
            <v>0.1</v>
          </cell>
          <cell r="L989">
            <v>4794</v>
          </cell>
        </row>
        <row r="990">
          <cell r="C990">
            <v>8030020663</v>
          </cell>
          <cell r="D990" t="str">
            <v>暗装开关盒(带金属片)PVC电工配白164x77/Φ16Φ20Φ25/H38 联塑</v>
          </cell>
          <cell r="E990" t="str">
            <v>PVC Conduit Gang Box (through reinforcement type, conncealed installation) 164x77 / dn16 dn20 dn25 / H38 White - LESSO</v>
          </cell>
          <cell r="F990">
            <v>1</v>
          </cell>
          <cell r="G990">
            <v>6384</v>
          </cell>
          <cell r="H990">
            <v>5752</v>
          </cell>
          <cell r="I990">
            <v>0.12</v>
          </cell>
          <cell r="J990">
            <v>6537</v>
          </cell>
          <cell r="K990">
            <v>0.1</v>
          </cell>
          <cell r="L990">
            <v>6392</v>
          </cell>
        </row>
        <row r="991">
          <cell r="C991">
            <v>8030020664</v>
          </cell>
          <cell r="D991" t="str">
            <v>暗装开关盒(带金属片)PVC电工配白164x77/Φ20Φ25/H50 联塑</v>
          </cell>
          <cell r="E991" t="str">
            <v>PVC Conduit Gang Box (through reinforcement type, conncealed installation) 164x77 / dn20 dn25 / H50 White - LESSO</v>
          </cell>
          <cell r="F991">
            <v>1</v>
          </cell>
          <cell r="G991">
            <v>7581</v>
          </cell>
          <cell r="H991">
            <v>6830</v>
          </cell>
          <cell r="I991">
            <v>0.12</v>
          </cell>
          <cell r="J991">
            <v>7762</v>
          </cell>
          <cell r="K991">
            <v>0.1</v>
          </cell>
          <cell r="L991">
            <v>7589</v>
          </cell>
        </row>
        <row r="992">
          <cell r="C992">
            <v>8030021235</v>
          </cell>
          <cell r="D992" t="str">
            <v>暗装中穿筋拼装开关盒(带金属片)PVC电工配白77x77/Φ20/H70 联塑</v>
          </cell>
          <cell r="E992" t="str">
            <v>PVC Conduit Rib-piercing Deeper Assembling Gang Box (through reinforcement type, conncealed installation) 77x77 / dn20 / H70 White - LESSO</v>
          </cell>
          <cell r="F992">
            <v>1</v>
          </cell>
          <cell r="G992">
            <v>5586</v>
          </cell>
          <cell r="H992">
            <v>5033</v>
          </cell>
          <cell r="I992">
            <v>0.12</v>
          </cell>
          <cell r="J992">
            <v>5720</v>
          </cell>
          <cell r="K992">
            <v>0.1</v>
          </cell>
          <cell r="L992">
            <v>5593</v>
          </cell>
        </row>
        <row r="993">
          <cell r="C993">
            <v>8030021236</v>
          </cell>
          <cell r="D993" t="str">
            <v>暗装中穿筋拼装开关盒(带金属片)PVC电工配白77x77/Φ20Φ25/H70 联塑</v>
          </cell>
          <cell r="E993" t="str">
            <v>PVC Conduit Rib-piercing Deeper Assembling Gang Box (through reinforcement type, conncealed installation) 77x77 / dn20 dn25 / H70 White - LESSO</v>
          </cell>
          <cell r="F993">
            <v>1</v>
          </cell>
          <cell r="G993">
            <v>5586</v>
          </cell>
          <cell r="H993">
            <v>5033</v>
          </cell>
          <cell r="I993">
            <v>0.12</v>
          </cell>
          <cell r="J993">
            <v>5720</v>
          </cell>
          <cell r="K993">
            <v>0.1</v>
          </cell>
          <cell r="L993">
            <v>5593</v>
          </cell>
        </row>
        <row r="994">
          <cell r="C994">
            <v>8030020851</v>
          </cell>
          <cell r="D994" t="str">
            <v>暗装八角下穿筋开关盒(带金属片)PVC电工配白77x77/Φ25/H70 联塑</v>
          </cell>
          <cell r="E994" t="str">
            <v>PVC Conduit Rib-piercing Gang Box (Through Reinforcement Type, with 8 active feet, conncealed Installation) 77x77 / dn25 / H70 White - LESSO</v>
          </cell>
          <cell r="F994">
            <v>1</v>
          </cell>
          <cell r="G994">
            <v>3990</v>
          </cell>
          <cell r="H994">
            <v>3595</v>
          </cell>
          <cell r="I994">
            <v>0.12</v>
          </cell>
          <cell r="J994">
            <v>4086</v>
          </cell>
          <cell r="K994">
            <v>0.1</v>
          </cell>
          <cell r="L994">
            <v>3995</v>
          </cell>
        </row>
        <row r="995">
          <cell r="C995">
            <v>8030020661</v>
          </cell>
          <cell r="D995" t="str">
            <v>暗装八角下穿筋开关盒(带金属片)PVC电工配白77x77/Φ20/H70 联塑</v>
          </cell>
          <cell r="E995" t="str">
            <v>PVC Conduit Gang Box (through reinforcement type, with 8 active feet, conncealed installation) 77x77 / dn20 / H70 White - LESSO</v>
          </cell>
          <cell r="F995">
            <v>1</v>
          </cell>
          <cell r="G995">
            <v>2327</v>
          </cell>
          <cell r="H995">
            <v>2097</v>
          </cell>
          <cell r="I995">
            <v>0.12</v>
          </cell>
          <cell r="J995">
            <v>2383</v>
          </cell>
          <cell r="K995">
            <v>0.1</v>
          </cell>
          <cell r="L995">
            <v>2330</v>
          </cell>
        </row>
        <row r="996">
          <cell r="C996">
            <v>8030020764</v>
          </cell>
          <cell r="D996" t="str">
            <v>暗装八角下穿筋开关盒(带金属片)PVC电工配白77x77/Φ25/H60 联塑</v>
          </cell>
          <cell r="E996" t="str">
            <v>PVC Conduit Gang Box (through reinforcement type, with 8 active feet, conncealed installation) 77x77 / dn25 / H60 White - LESSO</v>
          </cell>
          <cell r="F996">
            <v>1</v>
          </cell>
          <cell r="G996">
            <v>3990</v>
          </cell>
          <cell r="H996">
            <v>3595</v>
          </cell>
          <cell r="I996">
            <v>0.12</v>
          </cell>
          <cell r="J996">
            <v>4086</v>
          </cell>
          <cell r="K996">
            <v>0.1</v>
          </cell>
          <cell r="L996">
            <v>3995</v>
          </cell>
        </row>
        <row r="997">
          <cell r="C997">
            <v>8030020041</v>
          </cell>
          <cell r="D997" t="str">
            <v>暗装八角开关盒(带金属片)PVC电工配白77x77/Φ20/H50 联塑</v>
          </cell>
          <cell r="E997" t="str">
            <v>PVC Conduit Rib-piercing Gang Box (through reinforcement type, with 8 active feet, conncealed installation) 77x77 / dn20 / H50 White - LESSO</v>
          </cell>
          <cell r="F997">
            <v>1</v>
          </cell>
          <cell r="G997">
            <v>1779</v>
          </cell>
          <cell r="H997">
            <v>1603</v>
          </cell>
          <cell r="I997">
            <v>0.12</v>
          </cell>
          <cell r="J997">
            <v>1822</v>
          </cell>
          <cell r="K997">
            <v>0.1</v>
          </cell>
          <cell r="L997">
            <v>1782</v>
          </cell>
        </row>
        <row r="998">
          <cell r="C998">
            <v>8030020042</v>
          </cell>
          <cell r="D998" t="str">
            <v>暗装八角开关盒(带金属片)PVC电工配白77x77/Φ20/H60 联塑</v>
          </cell>
          <cell r="E998" t="str">
            <v>PVC Conduit Rib-piercing Gang Box (through reinforcement type, with 8 active feet, conncealed installation) 77x77 / dn20 / H60 White - LESSO</v>
          </cell>
          <cell r="F998">
            <v>1</v>
          </cell>
          <cell r="G998">
            <v>1921</v>
          </cell>
          <cell r="H998">
            <v>1731</v>
          </cell>
          <cell r="I998">
            <v>0.12</v>
          </cell>
          <cell r="J998">
            <v>1968</v>
          </cell>
          <cell r="K998">
            <v>0.1</v>
          </cell>
          <cell r="L998">
            <v>1924</v>
          </cell>
        </row>
        <row r="999">
          <cell r="C999">
            <v>8030020387</v>
          </cell>
          <cell r="D999" t="str">
            <v>槽、管线盒盖PVC电工套管配件白色 75x75 联塑</v>
          </cell>
          <cell r="E999" t="str">
            <v>PVC Conduit Gang Box Cover 75x75 Single White - LESSO</v>
          </cell>
          <cell r="F999">
            <v>1</v>
          </cell>
          <cell r="G999">
            <v>1140</v>
          </cell>
          <cell r="H999">
            <v>1028</v>
          </cell>
          <cell r="I999">
            <v>0.12</v>
          </cell>
          <cell r="J999">
            <v>1169</v>
          </cell>
          <cell r="K999">
            <v>0.1</v>
          </cell>
          <cell r="L999">
            <v>1143</v>
          </cell>
        </row>
        <row r="1000">
          <cell r="C1000">
            <v>8030020920</v>
          </cell>
          <cell r="D1000" t="str">
            <v>槽、管线盒盖PVC电工套管配件白色 77x77 联塑</v>
          </cell>
          <cell r="E1000" t="str">
            <v>PVC Conduit Gang Box Cover 77x77 White - LESSO</v>
          </cell>
          <cell r="F1000">
            <v>1</v>
          </cell>
          <cell r="G1000">
            <v>804</v>
          </cell>
          <cell r="H1000">
            <v>725</v>
          </cell>
          <cell r="I1000">
            <v>0.12</v>
          </cell>
          <cell r="J1000">
            <v>824</v>
          </cell>
          <cell r="K1000">
            <v>0.1</v>
          </cell>
          <cell r="L1000">
            <v>806</v>
          </cell>
        </row>
        <row r="1001">
          <cell r="C1001">
            <v>8030020369</v>
          </cell>
          <cell r="D1001" t="str">
            <v>槽、管线盒盖PVC电工套管配件白色 86x86 联塑</v>
          </cell>
          <cell r="E1001" t="str">
            <v>PVC Conduit Gang Box Cover 86x86 Single White - LESSO</v>
          </cell>
          <cell r="F1001">
            <v>1</v>
          </cell>
          <cell r="G1001">
            <v>1102</v>
          </cell>
          <cell r="H1001">
            <v>993</v>
          </cell>
          <cell r="I1001">
            <v>0.12</v>
          </cell>
          <cell r="J1001">
            <v>1129</v>
          </cell>
          <cell r="K1001">
            <v>0.1</v>
          </cell>
          <cell r="L1001">
            <v>1104</v>
          </cell>
        </row>
        <row r="1002">
          <cell r="C1002">
            <v>8030020386</v>
          </cell>
          <cell r="D1002" t="str">
            <v>槽、管线盒盖PVC电工套管配件白色 164x77 联塑</v>
          </cell>
          <cell r="E1002" t="str">
            <v>PVC Conduit Gang Box Cover 164x77 Single White - LESSO</v>
          </cell>
          <cell r="F1002">
            <v>1</v>
          </cell>
          <cell r="G1002">
            <v>2006</v>
          </cell>
          <cell r="H1002">
            <v>1808</v>
          </cell>
          <cell r="I1002">
            <v>0.12</v>
          </cell>
          <cell r="J1002">
            <v>2055</v>
          </cell>
          <cell r="K1002">
            <v>0.1</v>
          </cell>
          <cell r="L1002">
            <v>2009</v>
          </cell>
        </row>
        <row r="1003">
          <cell r="C1003">
            <v>8030021196</v>
          </cell>
          <cell r="D1003" t="str">
            <v>八角盒盖PVC电工套管配件白色 77x77 联塑</v>
          </cell>
          <cell r="E1003" t="str">
            <v>PVC Conduit Box Cover (with 8 active feets) 77x77 White - LESSO</v>
          </cell>
          <cell r="F1003">
            <v>1</v>
          </cell>
          <cell r="G1003">
            <v>1596</v>
          </cell>
          <cell r="H1003">
            <v>1438</v>
          </cell>
          <cell r="I1003">
            <v>0.12</v>
          </cell>
          <cell r="J1003">
            <v>1635</v>
          </cell>
          <cell r="K1003">
            <v>0.1</v>
          </cell>
          <cell r="L1003">
            <v>1598</v>
          </cell>
        </row>
        <row r="1004">
          <cell r="C1004">
            <v>8030020255</v>
          </cell>
          <cell r="D1004" t="str">
            <v>圆接线盒盖PVC电工套管配件白色 Φ65 联塑</v>
          </cell>
          <cell r="E1004" t="str">
            <v>PVC Conduit Box Cover dn65 White - LESSO</v>
          </cell>
          <cell r="F1004">
            <v>1</v>
          </cell>
          <cell r="G1004">
            <v>426</v>
          </cell>
          <cell r="H1004">
            <v>384</v>
          </cell>
          <cell r="I1004">
            <v>0.12</v>
          </cell>
          <cell r="J1004">
            <v>437</v>
          </cell>
          <cell r="K1004">
            <v>0.1</v>
          </cell>
          <cell r="L1004">
            <v>427</v>
          </cell>
        </row>
        <row r="1005">
          <cell r="C1005">
            <v>8030021234</v>
          </cell>
          <cell r="D1005" t="str">
            <v>管接头(印尼版)PVC电工套管配件白色 Φ20 联塑</v>
          </cell>
          <cell r="E1005" t="str">
            <v>PVC Conduit Flexible Coupling dn20 White - LESSO</v>
          </cell>
          <cell r="F1005">
            <v>1</v>
          </cell>
          <cell r="G1005">
            <v>798</v>
          </cell>
          <cell r="H1005">
            <v>719</v>
          </cell>
          <cell r="I1005">
            <v>0.12</v>
          </cell>
          <cell r="J1005">
            <v>818</v>
          </cell>
          <cell r="K1005">
            <v>0.1</v>
          </cell>
          <cell r="L1005">
            <v>799</v>
          </cell>
        </row>
        <row r="1006">
          <cell r="C1006">
            <v>8030020126</v>
          </cell>
          <cell r="D1006" t="str">
            <v>管夹PVC电工套管配件白色 Φ16 联塑</v>
          </cell>
          <cell r="E1006" t="str">
            <v>PVC Conduit Clamp dn16 White - LESSO</v>
          </cell>
          <cell r="F1006">
            <v>1</v>
          </cell>
          <cell r="G1006">
            <v>399</v>
          </cell>
          <cell r="H1006">
            <v>360</v>
          </cell>
          <cell r="I1006">
            <v>0.12</v>
          </cell>
          <cell r="J1006">
            <v>410</v>
          </cell>
          <cell r="K1006">
            <v>0.1</v>
          </cell>
          <cell r="L1006">
            <v>400</v>
          </cell>
        </row>
        <row r="1007">
          <cell r="C1007">
            <v>8030020127</v>
          </cell>
          <cell r="D1007" t="str">
            <v>管夹PVC电工套管配件白色 Φ20 联塑</v>
          </cell>
          <cell r="E1007" t="str">
            <v>PVC Conduit Clamp dn20 White - LESSO</v>
          </cell>
          <cell r="F1007">
            <v>1</v>
          </cell>
          <cell r="G1007">
            <v>228</v>
          </cell>
          <cell r="H1007">
            <v>206</v>
          </cell>
          <cell r="I1007">
            <v>0.12</v>
          </cell>
          <cell r="J1007">
            <v>235</v>
          </cell>
          <cell r="K1007">
            <v>0.1</v>
          </cell>
          <cell r="L1007">
            <v>229</v>
          </cell>
        </row>
        <row r="1008">
          <cell r="C1008">
            <v>8030020128</v>
          </cell>
          <cell r="D1008" t="str">
            <v>管夹PVC电工套管配件白色 Φ25 联塑</v>
          </cell>
          <cell r="E1008" t="str">
            <v>PVC Conduit Clamp dn25 White - LESSO</v>
          </cell>
          <cell r="F1008">
            <v>1</v>
          </cell>
          <cell r="G1008">
            <v>342</v>
          </cell>
          <cell r="H1008">
            <v>309</v>
          </cell>
          <cell r="I1008">
            <v>0.12</v>
          </cell>
          <cell r="J1008">
            <v>352</v>
          </cell>
          <cell r="K1008">
            <v>0.1</v>
          </cell>
          <cell r="L1008">
            <v>344</v>
          </cell>
        </row>
        <row r="1009">
          <cell r="C1009">
            <v>8030020129</v>
          </cell>
          <cell r="D1009" t="str">
            <v>管夹PVC电工套管配件白色 Φ32 联塑</v>
          </cell>
          <cell r="E1009" t="str">
            <v>PVC Conduit Clamp dn32 White - LESSO</v>
          </cell>
          <cell r="F1009">
            <v>1</v>
          </cell>
          <cell r="G1009">
            <v>456</v>
          </cell>
          <cell r="H1009">
            <v>411</v>
          </cell>
          <cell r="I1009">
            <v>0.12</v>
          </cell>
          <cell r="J1009">
            <v>468</v>
          </cell>
          <cell r="K1009">
            <v>0.1</v>
          </cell>
          <cell r="L1009">
            <v>457</v>
          </cell>
        </row>
        <row r="1010">
          <cell r="C1010">
            <v>8030020130</v>
          </cell>
          <cell r="D1010" t="str">
            <v>管夹PVC电工套管配件白色 Φ40 联塑</v>
          </cell>
          <cell r="E1010" t="str">
            <v>PVC Conduit Clamp dn40 White - LESSO</v>
          </cell>
          <cell r="F1010">
            <v>1</v>
          </cell>
          <cell r="G1010">
            <v>1976</v>
          </cell>
          <cell r="H1010">
            <v>1781</v>
          </cell>
          <cell r="I1010">
            <v>0.12</v>
          </cell>
          <cell r="J1010">
            <v>2024</v>
          </cell>
          <cell r="K1010">
            <v>0.1</v>
          </cell>
          <cell r="L1010">
            <v>1979</v>
          </cell>
        </row>
        <row r="1011">
          <cell r="C1011">
            <v>8030021111</v>
          </cell>
          <cell r="D1011" t="str">
            <v>U型管夹ⅡPVC电工套管配件白色 Φ20 联塑</v>
          </cell>
          <cell r="E1011" t="str">
            <v>PVC Conduit U Style Clamp (II) dn20 White - LESSO</v>
          </cell>
          <cell r="F1011">
            <v>1</v>
          </cell>
          <cell r="G1011">
            <v>228</v>
          </cell>
          <cell r="H1011">
            <v>206</v>
          </cell>
          <cell r="I1011">
            <v>0.12</v>
          </cell>
          <cell r="J1011">
            <v>235</v>
          </cell>
          <cell r="K1011">
            <v>0.1</v>
          </cell>
          <cell r="L1011">
            <v>229</v>
          </cell>
        </row>
        <row r="1012">
          <cell r="C1012">
            <v>8030021112</v>
          </cell>
          <cell r="D1012" t="str">
            <v>U型管夹ⅡPVC电工套管配件白色 Φ25 联塑</v>
          </cell>
          <cell r="E1012" t="str">
            <v>PVC Conduit U Style Clamp (II) dn25 White - LESSO</v>
          </cell>
          <cell r="F1012">
            <v>1</v>
          </cell>
          <cell r="G1012">
            <v>399</v>
          </cell>
          <cell r="H1012">
            <v>360</v>
          </cell>
          <cell r="I1012">
            <v>0.12</v>
          </cell>
          <cell r="J1012">
            <v>410</v>
          </cell>
          <cell r="K1012">
            <v>0.1</v>
          </cell>
          <cell r="L1012">
            <v>400</v>
          </cell>
        </row>
        <row r="1013">
          <cell r="C1013">
            <v>8030020594</v>
          </cell>
          <cell r="D1013" t="str">
            <v>U型管夹PVC电工套管配件白色 Φ20 联塑</v>
          </cell>
          <cell r="E1013" t="str">
            <v>PVC Conduit U Style Clamp dn20 White - LESSO</v>
          </cell>
          <cell r="F1013">
            <v>1</v>
          </cell>
          <cell r="G1013">
            <v>190</v>
          </cell>
          <cell r="H1013">
            <v>172</v>
          </cell>
          <cell r="I1013">
            <v>0.12</v>
          </cell>
          <cell r="J1013">
            <v>196</v>
          </cell>
          <cell r="K1013">
            <v>0.1</v>
          </cell>
          <cell r="L1013">
            <v>192</v>
          </cell>
        </row>
        <row r="1014">
          <cell r="C1014">
            <v>8030020595</v>
          </cell>
          <cell r="D1014" t="str">
            <v>U型管夹PVC电工套管配件白色 Φ25 联塑</v>
          </cell>
          <cell r="E1014" t="str">
            <v>PVC Conduit U Style Clamp dn25 White - LESSO</v>
          </cell>
          <cell r="F1014">
            <v>1</v>
          </cell>
          <cell r="G1014">
            <v>228</v>
          </cell>
          <cell r="H1014">
            <v>206</v>
          </cell>
          <cell r="I1014">
            <v>0.12</v>
          </cell>
          <cell r="J1014">
            <v>235</v>
          </cell>
          <cell r="K1014">
            <v>0.1</v>
          </cell>
          <cell r="L1014">
            <v>229</v>
          </cell>
        </row>
        <row r="1015">
          <cell r="C1015">
            <v>8030020596</v>
          </cell>
          <cell r="D1015" t="str">
            <v>U型管夹PVC电工套管配件白色 Φ32 联塑</v>
          </cell>
          <cell r="E1015" t="str">
            <v>PVC Conduit U Style Clamp dn32 White - LESSO</v>
          </cell>
          <cell r="F1015">
            <v>1</v>
          </cell>
          <cell r="G1015">
            <v>285</v>
          </cell>
          <cell r="H1015">
            <v>257</v>
          </cell>
          <cell r="I1015">
            <v>0.12</v>
          </cell>
          <cell r="J1015">
            <v>293</v>
          </cell>
          <cell r="K1015">
            <v>0.1</v>
          </cell>
          <cell r="L1015">
            <v>286</v>
          </cell>
        </row>
        <row r="1016">
          <cell r="C1016">
            <v>8030020737</v>
          </cell>
          <cell r="D1016" t="str">
            <v>双U管夹PVC电工套管配件白色 Φ20 联塑</v>
          </cell>
          <cell r="E1016" t="str">
            <v>PVC Conduit Double U Clamp dn20 White - LESSO</v>
          </cell>
          <cell r="F1016">
            <v>1</v>
          </cell>
          <cell r="G1016">
            <v>399</v>
          </cell>
          <cell r="H1016">
            <v>360</v>
          </cell>
          <cell r="I1016">
            <v>0.12</v>
          </cell>
          <cell r="J1016">
            <v>410</v>
          </cell>
          <cell r="K1016">
            <v>0.1</v>
          </cell>
          <cell r="L1016">
            <v>400</v>
          </cell>
        </row>
        <row r="1017">
          <cell r="C1017">
            <v>8030020158</v>
          </cell>
          <cell r="D1017" t="str">
            <v>管塞PVC电工套管配件白色 Φ16 联塑</v>
          </cell>
          <cell r="E1017" t="str">
            <v>PVC Conduit Plug dn16 White - LESSO</v>
          </cell>
          <cell r="F1017">
            <v>1</v>
          </cell>
          <cell r="G1017">
            <v>399</v>
          </cell>
          <cell r="H1017">
            <v>360</v>
          </cell>
          <cell r="I1017">
            <v>0.12</v>
          </cell>
          <cell r="J1017">
            <v>410</v>
          </cell>
          <cell r="K1017">
            <v>0.1</v>
          </cell>
          <cell r="L1017">
            <v>400</v>
          </cell>
        </row>
        <row r="1018">
          <cell r="C1018">
            <v>8030020159</v>
          </cell>
          <cell r="D1018" t="str">
            <v>管塞PVC电工套管配件白色 Φ20 联塑</v>
          </cell>
          <cell r="E1018" t="str">
            <v>PVC Conduit Plug dn16 White - LESSO</v>
          </cell>
          <cell r="F1018">
            <v>1</v>
          </cell>
          <cell r="G1018">
            <v>399</v>
          </cell>
          <cell r="H1018">
            <v>360</v>
          </cell>
          <cell r="I1018">
            <v>0.12</v>
          </cell>
          <cell r="J1018">
            <v>410</v>
          </cell>
          <cell r="K1018">
            <v>0.1</v>
          </cell>
          <cell r="L1018">
            <v>400</v>
          </cell>
        </row>
        <row r="1019">
          <cell r="C1019">
            <v>8030020160</v>
          </cell>
          <cell r="D1019" t="str">
            <v>管塞PVC电工套管配件白色 Φ25 联塑</v>
          </cell>
          <cell r="E1019" t="str">
            <v>PVC Conduit Plug dn25 White - LESSO</v>
          </cell>
          <cell r="F1019">
            <v>1</v>
          </cell>
          <cell r="G1019">
            <v>399</v>
          </cell>
          <cell r="H1019">
            <v>360</v>
          </cell>
          <cell r="I1019">
            <v>0.12</v>
          </cell>
          <cell r="J1019">
            <v>410</v>
          </cell>
          <cell r="K1019">
            <v>0.1</v>
          </cell>
          <cell r="L1019">
            <v>400</v>
          </cell>
        </row>
        <row r="1020">
          <cell r="C1020">
            <v>8030020808</v>
          </cell>
          <cell r="D1020" t="str">
            <v>波纹管PVC电工套管白色 dn20 50M 联塑</v>
          </cell>
          <cell r="E1020" t="str">
            <v>PVC Conduit Corrugated Conduit dn20 50M White - LESSO</v>
          </cell>
          <cell r="F1020">
            <v>1</v>
          </cell>
          <cell r="G1020">
            <v>100800</v>
          </cell>
          <cell r="H1020">
            <v>90811</v>
          </cell>
          <cell r="I1020">
            <v>0.12</v>
          </cell>
          <cell r="J1020">
            <v>103195</v>
          </cell>
          <cell r="K1020">
            <v>0.1</v>
          </cell>
          <cell r="L1020">
            <v>100902</v>
          </cell>
        </row>
        <row r="1021">
          <cell r="C1021">
            <v>8030020812</v>
          </cell>
          <cell r="D1021" t="str">
            <v>波纹管PVC电工套管白色 dn25 50M 联塑</v>
          </cell>
          <cell r="E1021" t="str">
            <v>PVC Conduit Corrugated Conduit dn25 50M White - LESSO</v>
          </cell>
          <cell r="F1021">
            <v>1</v>
          </cell>
          <cell r="G1021">
            <v>162400</v>
          </cell>
          <cell r="H1021">
            <v>146307</v>
          </cell>
          <cell r="I1021">
            <v>0.12</v>
          </cell>
          <cell r="J1021">
            <v>166258</v>
          </cell>
          <cell r="K1021">
            <v>0.1</v>
          </cell>
          <cell r="L1021">
            <v>162564</v>
          </cell>
        </row>
        <row r="1022">
          <cell r="C1022">
            <v>8030020754</v>
          </cell>
          <cell r="D1022" t="str">
            <v>波纹管PVC电工套管白色 dn32 100M 联塑</v>
          </cell>
          <cell r="E1022" t="str">
            <v>PVC Corrugated Conduit dn32 100M White - LESSO</v>
          </cell>
          <cell r="F1022">
            <v>1</v>
          </cell>
          <cell r="G1022">
            <v>411600</v>
          </cell>
          <cell r="H1022">
            <v>370811</v>
          </cell>
          <cell r="I1022">
            <v>0.12</v>
          </cell>
          <cell r="J1022">
            <v>421377</v>
          </cell>
          <cell r="K1022">
            <v>0.1</v>
          </cell>
          <cell r="L1022">
            <v>412013</v>
          </cell>
        </row>
        <row r="1023">
          <cell r="C1023">
            <v>8030021225</v>
          </cell>
          <cell r="D1023" t="str">
            <v>波纹管管索(Ⅱ)PVC电工套管配件白色 Φ20 联塑</v>
          </cell>
          <cell r="E1023" t="str">
            <v>PVC conduit Male Adapter (for corrugated conduit) II dn20 White - LESSO</v>
          </cell>
          <cell r="F1023">
            <v>1</v>
          </cell>
          <cell r="G1023">
            <v>605</v>
          </cell>
          <cell r="H1023">
            <v>546</v>
          </cell>
          <cell r="I1023">
            <v>0.12</v>
          </cell>
          <cell r="J1023">
            <v>621</v>
          </cell>
          <cell r="K1023">
            <v>0.1</v>
          </cell>
          <cell r="L1023">
            <v>607</v>
          </cell>
        </row>
        <row r="1024">
          <cell r="C1024">
            <v>8030020351</v>
          </cell>
          <cell r="D1024" t="str">
            <v>波纹管管索PVC电工套管配件白色 Φ20 联塑</v>
          </cell>
          <cell r="E1024" t="str">
            <v>PVC Conduit Male Adapter dn20 White - LESSO</v>
          </cell>
          <cell r="F1024">
            <v>1</v>
          </cell>
          <cell r="G1024">
            <v>620</v>
          </cell>
          <cell r="H1024">
            <v>559</v>
          </cell>
          <cell r="I1024">
            <v>0.12</v>
          </cell>
          <cell r="J1024">
            <v>636</v>
          </cell>
          <cell r="K1024">
            <v>0.1</v>
          </cell>
          <cell r="L1024">
            <v>622</v>
          </cell>
        </row>
        <row r="1025">
          <cell r="C1025">
            <v>8030020352</v>
          </cell>
          <cell r="D1025" t="str">
            <v>波纹管管索PVC电工套管配件白色 Φ25 联塑</v>
          </cell>
          <cell r="E1025" t="str">
            <v>PVC Conduit Male Adapter dn25 White - LESSO</v>
          </cell>
          <cell r="F1025">
            <v>1</v>
          </cell>
          <cell r="G1025">
            <v>992</v>
          </cell>
          <cell r="H1025">
            <v>894</v>
          </cell>
          <cell r="I1025">
            <v>0.12</v>
          </cell>
          <cell r="J1025">
            <v>1016</v>
          </cell>
          <cell r="K1025">
            <v>0.1</v>
          </cell>
          <cell r="L1025">
            <v>994</v>
          </cell>
        </row>
        <row r="1026">
          <cell r="C1026">
            <v>8030020353</v>
          </cell>
          <cell r="D1026" t="str">
            <v>波纹管管索PVC电工套管配件白色 Φ32 联塑</v>
          </cell>
          <cell r="E1026" t="str">
            <v>PVC Conduit Male Adapter dn32 White - LESSO</v>
          </cell>
          <cell r="F1026">
            <v>1</v>
          </cell>
          <cell r="G1026">
            <v>1457</v>
          </cell>
          <cell r="H1026">
            <v>1313</v>
          </cell>
          <cell r="I1026">
            <v>0.12</v>
          </cell>
          <cell r="J1026">
            <v>1493</v>
          </cell>
          <cell r="K1026">
            <v>0.1</v>
          </cell>
          <cell r="L1026">
            <v>1459</v>
          </cell>
        </row>
        <row r="1027">
          <cell r="C1027">
            <v>8030020790</v>
          </cell>
          <cell r="D1027" t="str">
            <v>波纹管转换接头PVC电工套管配件白色 Φ20 联塑</v>
          </cell>
          <cell r="E1027" t="str">
            <v>PVC Conduit Change Union (for corrugated conduit) dn20 White - LESSO</v>
          </cell>
          <cell r="F1027">
            <v>1</v>
          </cell>
          <cell r="G1027">
            <v>449</v>
          </cell>
          <cell r="H1027">
            <v>405</v>
          </cell>
          <cell r="I1027">
            <v>0.12</v>
          </cell>
          <cell r="J1027">
            <v>461</v>
          </cell>
          <cell r="K1027">
            <v>0.1</v>
          </cell>
          <cell r="L1027">
            <v>450</v>
          </cell>
        </row>
        <row r="1028">
          <cell r="C1028">
            <v>8030020935</v>
          </cell>
          <cell r="D1028" t="str">
            <v>明装开关盒PVC电工配印尼白 86x86/Φ20/H46 联塑</v>
          </cell>
          <cell r="E1028" t="str">
            <v>PVC Conduit Gang Box (Surface Installation) 86x86 / dn20 / H46 White(INA) - LESSO</v>
          </cell>
          <cell r="F1028">
            <v>1</v>
          </cell>
          <cell r="G1028">
            <v>4389</v>
          </cell>
          <cell r="H1028">
            <v>3955</v>
          </cell>
          <cell r="I1028">
            <v>0.12</v>
          </cell>
          <cell r="J1028">
            <v>4495</v>
          </cell>
          <cell r="K1028">
            <v>0.1</v>
          </cell>
          <cell r="L1028">
            <v>4395</v>
          </cell>
        </row>
        <row r="1029">
          <cell r="C1029">
            <v>8030020936</v>
          </cell>
          <cell r="D1029" t="str">
            <v>明装开关盒PVC电工配印尼白 86x86/Φ20Φ25/H46 联塑</v>
          </cell>
          <cell r="E1029" t="str">
            <v>PVC Conduit Gang Box (Surface Installation) 86x86 / dn20 dn25 / H46 White(INA) - LESSO</v>
          </cell>
          <cell r="F1029">
            <v>1</v>
          </cell>
          <cell r="G1029">
            <v>4389</v>
          </cell>
          <cell r="H1029">
            <v>3955</v>
          </cell>
          <cell r="I1029">
            <v>0.12</v>
          </cell>
          <cell r="J1029">
            <v>4495</v>
          </cell>
          <cell r="K1029">
            <v>0.1</v>
          </cell>
          <cell r="L1029">
            <v>4395</v>
          </cell>
        </row>
        <row r="1030">
          <cell r="C1030">
            <v>8030020361</v>
          </cell>
          <cell r="D1030" t="str">
            <v>弯管弹簧PVC电工套管配件工具 Φ20B 联塑</v>
          </cell>
          <cell r="E1030" t="str">
            <v>PVC Conduit Bending Spring (for Gade B Conduit) dn20 White - LESSO</v>
          </cell>
          <cell r="F1030">
            <v>1</v>
          </cell>
          <cell r="G1030">
            <v>15124</v>
          </cell>
          <cell r="H1030">
            <v>13626</v>
          </cell>
          <cell r="I1030">
            <v>0.12</v>
          </cell>
          <cell r="J1030">
            <v>15485</v>
          </cell>
          <cell r="K1030">
            <v>0.1</v>
          </cell>
          <cell r="L1030">
            <v>15140</v>
          </cell>
        </row>
        <row r="1031">
          <cell r="C1031">
            <v>8030020364</v>
          </cell>
          <cell r="D1031" t="str">
            <v>弯管弹簧PVC电工套管配件工具 Φ25B 联塑</v>
          </cell>
          <cell r="E1031" t="str">
            <v>PVC Conduit Bending Spring (for Gade B Conduit) dn25 White - LESSO</v>
          </cell>
          <cell r="F1031">
            <v>1</v>
          </cell>
          <cell r="G1031">
            <v>19950</v>
          </cell>
          <cell r="H1031">
            <v>17973</v>
          </cell>
          <cell r="I1031">
            <v>0.12</v>
          </cell>
          <cell r="J1031">
            <v>20424</v>
          </cell>
          <cell r="K1031">
            <v>0.1</v>
          </cell>
          <cell r="L1031">
            <v>19970</v>
          </cell>
        </row>
        <row r="1032">
          <cell r="C1032">
            <v>8030020376</v>
          </cell>
          <cell r="D1032" t="str">
            <v>弯管弹簧PVC电工套管配件工具 Φ32B 联塑</v>
          </cell>
          <cell r="E1032" t="str">
            <v>PVC Conduit Bending Spring(for Gade B Conduit) /dn32 - LESSO</v>
          </cell>
          <cell r="F1032">
            <v>1</v>
          </cell>
          <cell r="G1032">
            <v>30210</v>
          </cell>
          <cell r="H1032">
            <v>27217</v>
          </cell>
          <cell r="I1032">
            <v>0.12</v>
          </cell>
          <cell r="J1032">
            <v>30929</v>
          </cell>
          <cell r="K1032">
            <v>0.1</v>
          </cell>
          <cell r="L1032">
            <v>30242</v>
          </cell>
        </row>
        <row r="1033">
          <cell r="C1033">
            <v>8030020076</v>
          </cell>
          <cell r="D1033" t="str">
            <v>中穿筋暗装开关盒ⅡPVC电工套管配件白色 77x77/Φ20/60 联塑</v>
          </cell>
          <cell r="E1033" t="str">
            <v>PVC Conduit Gang Box with Internal Rib II (conncealed Installation) 77x77 / dn20 / 60 White - LESSO</v>
          </cell>
          <cell r="F1033">
            <v>1</v>
          </cell>
          <cell r="G1033">
            <v>5187</v>
          </cell>
          <cell r="H1033">
            <v>4673</v>
          </cell>
          <cell r="I1033">
            <v>0.12</v>
          </cell>
          <cell r="J1033">
            <v>5311</v>
          </cell>
          <cell r="K1033">
            <v>0.1</v>
          </cell>
          <cell r="L1033">
            <v>5193</v>
          </cell>
        </row>
        <row r="1034">
          <cell r="C1034">
            <v>8030020077</v>
          </cell>
          <cell r="D1034" t="str">
            <v>中穿筋暗装开关盒ⅡPVC电工套管配件白色 77x77/Φ20/70 联塑</v>
          </cell>
          <cell r="E1034" t="str">
            <v>PVC Conduit Gang Box with Internal Rib II (conncealed Installation) 77x77 / dn20 / 70 White - LESSO</v>
          </cell>
          <cell r="F1034">
            <v>1</v>
          </cell>
          <cell r="G1034">
            <v>5586</v>
          </cell>
          <cell r="H1034">
            <v>5033</v>
          </cell>
          <cell r="I1034">
            <v>0.12</v>
          </cell>
          <cell r="J1034">
            <v>5720</v>
          </cell>
          <cell r="K1034">
            <v>0.1</v>
          </cell>
          <cell r="L1034">
            <v>5593</v>
          </cell>
        </row>
        <row r="1035">
          <cell r="C1035">
            <v>8030020389</v>
          </cell>
          <cell r="D1035" t="str">
            <v>中穿筋暗装开关盒ⅡPVC电工套管配件白色 77x77/Φ20Φ25/70 联塑</v>
          </cell>
          <cell r="E1035" t="str">
            <v>PVC Conduit Gang Box with Internal Rib II (conncealed Installation) 77x77 / dn20 dn25 / 70 White - LESSO</v>
          </cell>
          <cell r="F1035">
            <v>1</v>
          </cell>
          <cell r="G1035">
            <v>5586</v>
          </cell>
          <cell r="H1035">
            <v>5033</v>
          </cell>
          <cell r="I1035">
            <v>0.12</v>
          </cell>
          <cell r="J1035">
            <v>5720</v>
          </cell>
          <cell r="K1035">
            <v>0.1</v>
          </cell>
          <cell r="L1035">
            <v>5593</v>
          </cell>
        </row>
        <row r="1036">
          <cell r="C1036">
            <v>8030020078</v>
          </cell>
          <cell r="D1036" t="str">
            <v>中穿筋暗装开关盒ⅡPVC电工套管配件白色 77x77/Φ25/70 联塑</v>
          </cell>
          <cell r="E1036" t="str">
            <v>PVC Conduit Gang Box with Internal Rib II (conncealed Installation) 77x77 / dn25 / 70 White - LESSO</v>
          </cell>
          <cell r="F1036">
            <v>1</v>
          </cell>
          <cell r="G1036">
            <v>5586</v>
          </cell>
          <cell r="H1036">
            <v>5033</v>
          </cell>
          <cell r="I1036">
            <v>0.12</v>
          </cell>
          <cell r="J1036">
            <v>5720</v>
          </cell>
          <cell r="K1036">
            <v>0.1</v>
          </cell>
          <cell r="L1036">
            <v>5593</v>
          </cell>
        </row>
        <row r="1037">
          <cell r="C1037">
            <v>8010036442</v>
          </cell>
          <cell r="D1037" t="str">
            <v>给水用聚乙烯HDPE管盘管(1.0MPa)黑色 dn32 100M/卷(IDN)</v>
          </cell>
          <cell r="E1037" t="str">
            <v>HDPE Water Supply Coil Pipe (1.0Mpa) dn32 100M/roll Black(IDN)</v>
          </cell>
          <cell r="F1037">
            <v>1</v>
          </cell>
          <cell r="G1037">
            <v>973600</v>
          </cell>
          <cell r="H1037">
            <v>877118</v>
          </cell>
          <cell r="I1037">
            <v>0.12</v>
          </cell>
          <cell r="J1037">
            <v>996725</v>
          </cell>
          <cell r="K1037">
            <v>0.1</v>
          </cell>
          <cell r="L1037">
            <v>974576</v>
          </cell>
        </row>
        <row r="1038">
          <cell r="C1038">
            <v>8010036443</v>
          </cell>
          <cell r="D1038" t="str">
            <v>给水用聚乙烯HDPE管盘管(1.0MPa)黑色 dn32 50M/卷(IDN)</v>
          </cell>
          <cell r="E1038" t="str">
            <v>HDPE Water Supply Coil Pipe (1.0Mpa) dn32 50M/roll Black(IDN)</v>
          </cell>
          <cell r="F1038">
            <v>1</v>
          </cell>
          <cell r="G1038">
            <v>486800</v>
          </cell>
          <cell r="H1038">
            <v>438559</v>
          </cell>
          <cell r="I1038">
            <v>0.12</v>
          </cell>
          <cell r="J1038">
            <v>498363</v>
          </cell>
          <cell r="K1038">
            <v>0.1</v>
          </cell>
          <cell r="L1038">
            <v>487288</v>
          </cell>
        </row>
        <row r="1039">
          <cell r="C1039">
            <v>8010036452</v>
          </cell>
          <cell r="D1039" t="str">
            <v>给水用聚乙烯HDPE管盘管(1.0MPa)黑色 dn40 100M/卷(IDN)</v>
          </cell>
          <cell r="E1039" t="str">
            <v>HDPE Water Supply Coil Pipe (1.0Mpa) dn40 100M/roll Black(IDN)</v>
          </cell>
          <cell r="F1039">
            <v>1</v>
          </cell>
          <cell r="G1039">
            <v>1496200</v>
          </cell>
          <cell r="H1039">
            <v>1347928</v>
          </cell>
          <cell r="I1039">
            <v>0.12</v>
          </cell>
          <cell r="J1039">
            <v>1531737</v>
          </cell>
          <cell r="K1039">
            <v>0.1</v>
          </cell>
          <cell r="L1039">
            <v>1497698</v>
          </cell>
        </row>
        <row r="1040">
          <cell r="C1040">
            <v>8010036453</v>
          </cell>
          <cell r="D1040" t="str">
            <v>给水用聚乙烯HDPE管盘管(1.0MPa)黑色 dn40 50M/卷(IDN)</v>
          </cell>
          <cell r="E1040" t="str">
            <v>HDPE Water Supply Coil Pipe (1.0Mpa) dn40 50M/roll Black(IDN)</v>
          </cell>
          <cell r="F1040">
            <v>1</v>
          </cell>
          <cell r="G1040">
            <v>748100</v>
          </cell>
          <cell r="H1040">
            <v>673964</v>
          </cell>
          <cell r="I1040">
            <v>0.12</v>
          </cell>
          <cell r="J1040">
            <v>765869</v>
          </cell>
          <cell r="K1040">
            <v>0.1</v>
          </cell>
          <cell r="L1040">
            <v>748849</v>
          </cell>
        </row>
        <row r="1041">
          <cell r="C1041">
            <v>8010036462</v>
          </cell>
          <cell r="D1041" t="str">
            <v>给水用聚乙烯HDPE管盘管(1.0MPa)黑色 dn50 100M/卷(IDN)</v>
          </cell>
          <cell r="E1041" t="str">
            <v>HDPE Water Supply Coil Pipe (1.0Mpa) dn50 100M/roll Black(IDN)</v>
          </cell>
          <cell r="F1041">
            <v>1</v>
          </cell>
          <cell r="G1041">
            <v>2305800</v>
          </cell>
          <cell r="H1041">
            <v>2077298</v>
          </cell>
          <cell r="I1041">
            <v>0.12</v>
          </cell>
          <cell r="J1041">
            <v>2360566</v>
          </cell>
          <cell r="K1041">
            <v>0.1</v>
          </cell>
          <cell r="L1041">
            <v>2308109</v>
          </cell>
        </row>
        <row r="1042">
          <cell r="C1042">
            <v>8010036463</v>
          </cell>
          <cell r="D1042" t="str">
            <v>给水用聚乙烯HDPE管盘管(1.0MPa)黑色 dn50 50M/卷(IDN)</v>
          </cell>
          <cell r="E1042" t="str">
            <v>HDPE Water Supply Coil Pipe (1.0Mpa) dn50 50M/roll Black(IDN)</v>
          </cell>
          <cell r="F1042">
            <v>1</v>
          </cell>
          <cell r="G1042">
            <v>1152900</v>
          </cell>
          <cell r="H1042">
            <v>1038649</v>
          </cell>
          <cell r="I1042">
            <v>0.12</v>
          </cell>
          <cell r="J1042">
            <v>1180283</v>
          </cell>
          <cell r="K1042">
            <v>0.1</v>
          </cell>
          <cell r="L1042">
            <v>1154055</v>
          </cell>
        </row>
        <row r="1043">
          <cell r="C1043">
            <v>8010036472</v>
          </cell>
          <cell r="D1043" t="str">
            <v>给水用聚乙烯HDPE管盘管(1.0MPa)黑色 dn63 100M/卷(IDN)</v>
          </cell>
          <cell r="E1043" t="str">
            <v>HDPE Water Supply Coil Pipe (1.0Mpa) dn63 100M/roll Black(IDN)</v>
          </cell>
          <cell r="F1043">
            <v>1</v>
          </cell>
          <cell r="G1043">
            <v>3674000</v>
          </cell>
          <cell r="H1043">
            <v>3309910</v>
          </cell>
          <cell r="I1043">
            <v>0.12</v>
          </cell>
          <cell r="J1043">
            <v>3761262</v>
          </cell>
          <cell r="K1043">
            <v>0.1</v>
          </cell>
          <cell r="L1043">
            <v>3677678</v>
          </cell>
        </row>
        <row r="1044">
          <cell r="C1044">
            <v>8010036473</v>
          </cell>
          <cell r="D1044" t="str">
            <v>给水用聚乙烯HDPE管盘管(1.0MPa)黑色 dn63 50M/卷(IDN)</v>
          </cell>
          <cell r="E1044" t="str">
            <v>HDPE Water Supply Coil Pipe (1.0Mpa) dn63 50M/roll Black(IDN)</v>
          </cell>
          <cell r="F1044">
            <v>1</v>
          </cell>
          <cell r="G1044">
            <v>1837000</v>
          </cell>
          <cell r="H1044">
            <v>1654955</v>
          </cell>
          <cell r="I1044">
            <v>0.12</v>
          </cell>
          <cell r="J1044">
            <v>1880631</v>
          </cell>
          <cell r="K1044">
            <v>0.1</v>
          </cell>
          <cell r="L1044">
            <v>1838839</v>
          </cell>
        </row>
        <row r="1045">
          <cell r="C1045">
            <v>8010036482</v>
          </cell>
          <cell r="D1045" t="str">
            <v>给水用聚乙烯HDPE管盘管(1.0MPa)黑色 dn75 50M/卷(IDN)</v>
          </cell>
          <cell r="E1045" t="str">
            <v>HDPE Water Supply Coil Pipe (1.0Mpa) dn75 50M/roll Black(IDN)</v>
          </cell>
          <cell r="F1045">
            <v>1</v>
          </cell>
          <cell r="G1045">
            <v>2587700</v>
          </cell>
          <cell r="H1045">
            <v>2331262</v>
          </cell>
          <cell r="I1045">
            <v>0.12</v>
          </cell>
          <cell r="J1045">
            <v>2649162</v>
          </cell>
          <cell r="K1045">
            <v>0.1</v>
          </cell>
          <cell r="L1045">
            <v>2590292</v>
          </cell>
        </row>
        <row r="1046">
          <cell r="C1046">
            <v>8010036483</v>
          </cell>
          <cell r="D1046" t="str">
            <v>给水用聚乙烯HDPE管盘管(1.0MPa)黑色 dn75 100M/卷(IDN)</v>
          </cell>
          <cell r="E1046" t="str">
            <v>HDPE Water Supply Coil Pipe (1.0Mpa) dn75 100M/roll Black(IDN)</v>
          </cell>
          <cell r="F1046">
            <v>1</v>
          </cell>
          <cell r="G1046">
            <v>5175400</v>
          </cell>
          <cell r="H1046">
            <v>4662523</v>
          </cell>
          <cell r="I1046">
            <v>0.12</v>
          </cell>
          <cell r="J1046">
            <v>5298322</v>
          </cell>
          <cell r="K1046">
            <v>0.1</v>
          </cell>
          <cell r="L1046">
            <v>5180582</v>
          </cell>
        </row>
        <row r="1047">
          <cell r="C1047">
            <v>8010036492</v>
          </cell>
          <cell r="D1047" t="str">
            <v>给水用聚乙烯HDPE管盘管(1.0MPa)黑色 dn90 100M/卷(IDN)</v>
          </cell>
          <cell r="E1047" t="str">
            <v>HDPE Water Supply Coil Pipe (1.0Mpa) dn90 100M/roll Black(IDN)</v>
          </cell>
          <cell r="F1047">
            <v>1</v>
          </cell>
          <cell r="G1047">
            <v>7476100</v>
          </cell>
          <cell r="H1047">
            <v>6735226</v>
          </cell>
          <cell r="I1047">
            <v>0.12</v>
          </cell>
          <cell r="J1047">
            <v>7653666</v>
          </cell>
          <cell r="K1047">
            <v>0.1</v>
          </cell>
          <cell r="L1047">
            <v>7483585</v>
          </cell>
        </row>
        <row r="1048">
          <cell r="C1048">
            <v>8010036493</v>
          </cell>
          <cell r="D1048" t="str">
            <v>给水用聚乙烯HDPE管盘管(1.0MPa)黑色 dn90 50M/卷(IDN)</v>
          </cell>
          <cell r="E1048" t="str">
            <v>HDPE Water Supply Coil Pipe (1.0Mpa) dn90 50M/roll Black(IDN)</v>
          </cell>
          <cell r="F1048">
            <v>1</v>
          </cell>
          <cell r="G1048">
            <v>3738050</v>
          </cell>
          <cell r="H1048">
            <v>3367613</v>
          </cell>
          <cell r="I1048">
            <v>0.12</v>
          </cell>
          <cell r="J1048">
            <v>3826833</v>
          </cell>
          <cell r="K1048">
            <v>0.1</v>
          </cell>
          <cell r="L1048">
            <v>3741793</v>
          </cell>
        </row>
        <row r="1049">
          <cell r="C1049">
            <v>8010036502</v>
          </cell>
          <cell r="D1049" t="str">
            <v>给水用聚乙烯HDPE管盘管(1.0MPa)黑色 dn110 100M/卷(IDN)</v>
          </cell>
          <cell r="E1049" t="str">
            <v>HDPE Water Supply Coil Pipe (1.0Mpa) dn110 100M/roll Black(IDN)</v>
          </cell>
          <cell r="F1049">
            <v>1</v>
          </cell>
          <cell r="G1049">
            <v>11160400</v>
          </cell>
          <cell r="H1049">
            <v>10054415</v>
          </cell>
          <cell r="I1049">
            <v>0.12</v>
          </cell>
          <cell r="J1049">
            <v>11425472</v>
          </cell>
          <cell r="K1049">
            <v>0.1</v>
          </cell>
          <cell r="L1049">
            <v>11171573</v>
          </cell>
        </row>
        <row r="1050">
          <cell r="C1050">
            <v>8010036503</v>
          </cell>
          <cell r="D1050" t="str">
            <v>给水用聚乙烯HDPE管盘管(1.0MPa)黑色 dn110 50M/卷(IDN)</v>
          </cell>
          <cell r="E1050" t="str">
            <v>HDPE Water Supply Coil Pipe (1.0Mpa) dn110 50M/roll Black(IDN)</v>
          </cell>
          <cell r="F1050">
            <v>1</v>
          </cell>
          <cell r="G1050">
            <v>5580200</v>
          </cell>
          <cell r="H1050">
            <v>5027208</v>
          </cell>
          <cell r="I1050">
            <v>0.12</v>
          </cell>
          <cell r="J1050">
            <v>5712737</v>
          </cell>
          <cell r="K1050">
            <v>0.1</v>
          </cell>
          <cell r="L1050">
            <v>5585787</v>
          </cell>
        </row>
        <row r="1051">
          <cell r="C1051">
            <v>8010036540</v>
          </cell>
          <cell r="D1051" t="str">
            <v>给水用聚乙烯HDPE直管(1.0MPa)黑色 dn32 5.8M/根(IDN)</v>
          </cell>
          <cell r="E1051" t="str">
            <v>HDPE Water Supply Pipe (1.0Mpa) dn32 5.8M/pcs Black(IDN)</v>
          </cell>
          <cell r="F1051">
            <v>1</v>
          </cell>
          <cell r="G1051">
            <v>56468</v>
          </cell>
          <cell r="H1051">
            <v>50873</v>
          </cell>
          <cell r="I1051">
            <v>0.12</v>
          </cell>
          <cell r="J1051">
            <v>57811</v>
          </cell>
          <cell r="K1051">
            <v>0.1</v>
          </cell>
          <cell r="L1051">
            <v>56526</v>
          </cell>
        </row>
        <row r="1052">
          <cell r="C1052">
            <v>8010036541</v>
          </cell>
          <cell r="D1052" t="str">
            <v>给水用聚乙烯HDPE直管(1.0MPa)黑色 dn32 6M/根(IDN)</v>
          </cell>
          <cell r="E1052" t="str">
            <v>HDPE Water Supply Pipe (1.0Mpa) dn32 6M/pcs Black(IDN)</v>
          </cell>
          <cell r="F1052">
            <v>1</v>
          </cell>
          <cell r="G1052">
            <v>58415</v>
          </cell>
          <cell r="H1052">
            <v>52627</v>
          </cell>
          <cell r="I1052">
            <v>0.12</v>
          </cell>
          <cell r="J1052">
            <v>59804</v>
          </cell>
          <cell r="K1052">
            <v>0.1</v>
          </cell>
          <cell r="L1052">
            <v>58475</v>
          </cell>
        </row>
        <row r="1053">
          <cell r="C1053">
            <v>8010036542</v>
          </cell>
          <cell r="D1053" t="str">
            <v>给水用聚乙烯HDPE直管(1.0MPa)黑色 dn32 11.8M/根(IDN)</v>
          </cell>
          <cell r="E1053" t="str">
            <v>HDPE Water Supply Pipe (1.0Mpa) dn32 11.8M/pcs Black(IDN)</v>
          </cell>
          <cell r="F1053">
            <v>1</v>
          </cell>
          <cell r="G1053">
            <v>114883</v>
          </cell>
          <cell r="H1053">
            <v>103499</v>
          </cell>
          <cell r="I1053">
            <v>0.12</v>
          </cell>
          <cell r="J1053">
            <v>117613</v>
          </cell>
          <cell r="K1053">
            <v>0.1</v>
          </cell>
          <cell r="L1053">
            <v>114999</v>
          </cell>
        </row>
        <row r="1054">
          <cell r="C1054">
            <v>8010036543</v>
          </cell>
          <cell r="D1054" t="str">
            <v>给水用聚乙烯HDPE直管(1.0MPa)黑色 dn32 12M/根(IDN)</v>
          </cell>
          <cell r="E1054" t="str">
            <v>HDPE Water Supply Pipe (1.0Mpa) dn32 12M/pcs Black(IDN)</v>
          </cell>
          <cell r="F1054">
            <v>1</v>
          </cell>
          <cell r="G1054">
            <v>116830</v>
          </cell>
          <cell r="H1054">
            <v>105253</v>
          </cell>
          <cell r="I1054">
            <v>0.12</v>
          </cell>
          <cell r="J1054">
            <v>119606</v>
          </cell>
          <cell r="K1054">
            <v>0.1</v>
          </cell>
          <cell r="L1054">
            <v>116948</v>
          </cell>
        </row>
        <row r="1055">
          <cell r="C1055">
            <v>8010036560</v>
          </cell>
          <cell r="D1055" t="str">
            <v>给水用聚乙烯HDPE直管(1.0MPa)黑色 dn40 5.8M/根(IDN)</v>
          </cell>
          <cell r="E1055" t="str">
            <v>HDPE Water Supply Pipe (1.0Mpa) dn40 5.8M/pcs Black(IDN)</v>
          </cell>
          <cell r="F1055">
            <v>1</v>
          </cell>
          <cell r="G1055">
            <v>86803</v>
          </cell>
          <cell r="H1055">
            <v>78201</v>
          </cell>
          <cell r="I1055">
            <v>0.12</v>
          </cell>
          <cell r="J1055">
            <v>88865</v>
          </cell>
          <cell r="K1055">
            <v>0.1</v>
          </cell>
          <cell r="L1055">
            <v>86890</v>
          </cell>
        </row>
        <row r="1056">
          <cell r="C1056">
            <v>8010036561</v>
          </cell>
          <cell r="D1056" t="str">
            <v>给水用聚乙烯HDPE直管(1.0MPa)黑色 dn40 6M/根(IDN)</v>
          </cell>
          <cell r="E1056" t="str">
            <v>HDPE Water Supply Pipe (1.0Mpa) dn40 6M/pcs Black(IDN)</v>
          </cell>
          <cell r="F1056">
            <v>1</v>
          </cell>
          <cell r="G1056">
            <v>89775</v>
          </cell>
          <cell r="H1056">
            <v>80879</v>
          </cell>
          <cell r="I1056">
            <v>0.12</v>
          </cell>
          <cell r="J1056">
            <v>91908</v>
          </cell>
          <cell r="K1056">
            <v>0.1</v>
          </cell>
          <cell r="L1056">
            <v>89866</v>
          </cell>
        </row>
        <row r="1057">
          <cell r="C1057">
            <v>8010036562</v>
          </cell>
          <cell r="D1057" t="str">
            <v>给水用聚乙烯HDPE直管(1.0MPa)黑色 dn40 11.8M/根(IDN)</v>
          </cell>
          <cell r="E1057" t="str">
            <v>HDPE Water Supply Pipe (1.0Mpa) dn40 11.8M/pcs Black(IDN)</v>
          </cell>
          <cell r="F1057">
            <v>1</v>
          </cell>
          <cell r="G1057">
            <v>176578</v>
          </cell>
          <cell r="H1057">
            <v>159080</v>
          </cell>
          <cell r="I1057">
            <v>0.12</v>
          </cell>
          <cell r="J1057">
            <v>180773</v>
          </cell>
          <cell r="K1057">
            <v>0.1</v>
          </cell>
          <cell r="L1057">
            <v>176756</v>
          </cell>
        </row>
        <row r="1058">
          <cell r="C1058">
            <v>8010036563</v>
          </cell>
          <cell r="D1058" t="str">
            <v>给水用聚乙烯HDPE直管(1.0MPa)黑色 dn40 12M/根(IDN)</v>
          </cell>
          <cell r="E1058" t="str">
            <v>HDPE Water Supply Pipe (1.0Mpa) dn40 12M/pcs Black(IDN)</v>
          </cell>
          <cell r="F1058">
            <v>1</v>
          </cell>
          <cell r="G1058">
            <v>179550</v>
          </cell>
          <cell r="H1058">
            <v>161757</v>
          </cell>
          <cell r="I1058">
            <v>0.12</v>
          </cell>
          <cell r="J1058">
            <v>183815</v>
          </cell>
          <cell r="K1058">
            <v>0.1</v>
          </cell>
          <cell r="L1058">
            <v>179730</v>
          </cell>
        </row>
        <row r="1059">
          <cell r="C1059">
            <v>8010036580</v>
          </cell>
          <cell r="D1059" t="str">
            <v>给水用聚乙烯HDPE直管(1.0MPa)黑色 dn50 5.8M/根(IDN)</v>
          </cell>
          <cell r="E1059" t="str">
            <v>HDPE Water Supply Pipe (1.0Mpa) dn50 5.8M/pcs Black(IDN)</v>
          </cell>
          <cell r="F1059">
            <v>1</v>
          </cell>
          <cell r="G1059">
            <v>133740</v>
          </cell>
          <cell r="H1059">
            <v>120487</v>
          </cell>
          <cell r="I1059">
            <v>0.12</v>
          </cell>
          <cell r="J1059">
            <v>136918</v>
          </cell>
          <cell r="K1059">
            <v>0.1</v>
          </cell>
          <cell r="L1059">
            <v>133875</v>
          </cell>
        </row>
        <row r="1060">
          <cell r="C1060">
            <v>8010036581</v>
          </cell>
          <cell r="D1060" t="str">
            <v>给水用聚乙烯HDPE直管(1.0MPa)黑色 dn50 6M/根(IDN)</v>
          </cell>
          <cell r="E1060" t="str">
            <v>HDPE Water Supply Pipe (1.0Mpa) dn50 6M/pcs Black(IDN)</v>
          </cell>
          <cell r="F1060">
            <v>1</v>
          </cell>
          <cell r="G1060">
            <v>138352</v>
          </cell>
          <cell r="H1060">
            <v>124642</v>
          </cell>
          <cell r="I1060">
            <v>0.12</v>
          </cell>
          <cell r="J1060">
            <v>141639</v>
          </cell>
          <cell r="K1060">
            <v>0.1</v>
          </cell>
          <cell r="L1060">
            <v>138492</v>
          </cell>
        </row>
        <row r="1061">
          <cell r="C1061">
            <v>8010036582</v>
          </cell>
          <cell r="D1061" t="str">
            <v>给水用聚乙烯HDPE直管(1.0MPa)黑色 dn50 11.8M/根(IDN)</v>
          </cell>
          <cell r="E1061" t="str">
            <v>HDPE Water Supply Pipe (1.0Mpa) dn50 11.8M/pcs Black(IDN)</v>
          </cell>
          <cell r="F1061">
            <v>1</v>
          </cell>
          <cell r="G1061">
            <v>272092</v>
          </cell>
          <cell r="H1061">
            <v>245128</v>
          </cell>
          <cell r="I1061">
            <v>0.12</v>
          </cell>
          <cell r="J1061">
            <v>278555</v>
          </cell>
          <cell r="K1061">
            <v>0.1</v>
          </cell>
          <cell r="L1061">
            <v>272365</v>
          </cell>
        </row>
        <row r="1062">
          <cell r="C1062">
            <v>8010036583</v>
          </cell>
          <cell r="D1062" t="str">
            <v>给水用聚乙烯HDPE直管(1.0MPa)黑色 dn50 12M/根(IDN)</v>
          </cell>
          <cell r="E1062" t="str">
            <v>HDPE Water Supply Pipe (1.0Mpa) dn50 12M/pcs Black(IDN)</v>
          </cell>
          <cell r="F1062">
            <v>1</v>
          </cell>
          <cell r="G1062">
            <v>276704</v>
          </cell>
          <cell r="H1062">
            <v>249283</v>
          </cell>
          <cell r="I1062">
            <v>0.12</v>
          </cell>
          <cell r="J1062">
            <v>283277</v>
          </cell>
          <cell r="K1062">
            <v>0.1</v>
          </cell>
          <cell r="L1062">
            <v>276982</v>
          </cell>
        </row>
        <row r="1063">
          <cell r="C1063">
            <v>8010036600</v>
          </cell>
          <cell r="D1063" t="str">
            <v>给水用聚乙烯HDPE直管(1.0MPa)黑色 dn63 5.8M/根(IDN)</v>
          </cell>
          <cell r="E1063" t="str">
            <v>HDPE Water Supply Pipe (1.0Mpa) dn63 5.8M/pcs Black(IDN)</v>
          </cell>
          <cell r="F1063">
            <v>1</v>
          </cell>
          <cell r="G1063">
            <v>213113</v>
          </cell>
          <cell r="H1063">
            <v>191994</v>
          </cell>
          <cell r="I1063">
            <v>0.12</v>
          </cell>
          <cell r="J1063">
            <v>218175</v>
          </cell>
          <cell r="K1063">
            <v>0.1</v>
          </cell>
          <cell r="L1063">
            <v>213327</v>
          </cell>
        </row>
        <row r="1064">
          <cell r="C1064">
            <v>8010036601</v>
          </cell>
          <cell r="D1064" t="str">
            <v>给水用聚乙烯HDPE直管(1.0MPa)黑色 dn63 6M/根(IDN)</v>
          </cell>
          <cell r="E1064" t="str">
            <v>HDPE Water Supply Pipe (1.0Mpa) dn63 6M/pcs Black(IDN)</v>
          </cell>
          <cell r="F1064">
            <v>1</v>
          </cell>
          <cell r="G1064">
            <v>220440</v>
          </cell>
          <cell r="H1064">
            <v>198595</v>
          </cell>
          <cell r="I1064">
            <v>0.12</v>
          </cell>
          <cell r="J1064">
            <v>225677</v>
          </cell>
          <cell r="K1064">
            <v>0.1</v>
          </cell>
          <cell r="L1064">
            <v>220662</v>
          </cell>
        </row>
        <row r="1065">
          <cell r="C1065">
            <v>8010036602</v>
          </cell>
          <cell r="D1065" t="str">
            <v>给水用聚乙烯HDPE直管(1.0MPa)黑色 dn63 11.8M/根(IDN)</v>
          </cell>
          <cell r="E1065" t="str">
            <v>HDPE Water Supply Pipe (1.0Mpa) dn63 11.8M/pcs Black(IDN)</v>
          </cell>
          <cell r="F1065">
            <v>1</v>
          </cell>
          <cell r="G1065">
            <v>433554</v>
          </cell>
          <cell r="H1065">
            <v>390590</v>
          </cell>
          <cell r="I1065">
            <v>0.12</v>
          </cell>
          <cell r="J1065">
            <v>443853</v>
          </cell>
          <cell r="K1065">
            <v>0.1</v>
          </cell>
          <cell r="L1065">
            <v>433989</v>
          </cell>
        </row>
        <row r="1066">
          <cell r="C1066">
            <v>8010036603</v>
          </cell>
          <cell r="D1066" t="str">
            <v>给水用聚乙烯HDPE直管(1.0MPa)黑色 dn63 12M/根(IDN)</v>
          </cell>
          <cell r="E1066" t="str">
            <v>HDPE Water Supply Pipe (1.0Mpa) dn63 12M/pcs Black(IDN)</v>
          </cell>
          <cell r="F1066">
            <v>1</v>
          </cell>
          <cell r="G1066">
            <v>440881</v>
          </cell>
          <cell r="H1066">
            <v>397191</v>
          </cell>
          <cell r="I1066">
            <v>0.12</v>
          </cell>
          <cell r="J1066">
            <v>451354</v>
          </cell>
          <cell r="K1066">
            <v>0.1</v>
          </cell>
          <cell r="L1066">
            <v>441324</v>
          </cell>
        </row>
        <row r="1067">
          <cell r="C1067">
            <v>8010036620</v>
          </cell>
          <cell r="D1067" t="str">
            <v>给水用聚乙烯HDPE直管(1.0MPa)黑色 dn75 5.8M/根(IDN)</v>
          </cell>
          <cell r="E1067" t="str">
            <v>HDPE Water Supply Pipe (1.0Mpa) dn75 5.8M/pcs Black(IDN)</v>
          </cell>
          <cell r="F1067">
            <v>1</v>
          </cell>
          <cell r="G1067">
            <v>300172</v>
          </cell>
          <cell r="H1067">
            <v>270426</v>
          </cell>
          <cell r="I1067">
            <v>0.12</v>
          </cell>
          <cell r="J1067">
            <v>307303</v>
          </cell>
          <cell r="K1067">
            <v>0.1</v>
          </cell>
          <cell r="L1067">
            <v>300474</v>
          </cell>
        </row>
        <row r="1068">
          <cell r="C1068">
            <v>8010036621</v>
          </cell>
          <cell r="D1068" t="str">
            <v>给水用聚乙烯HDPE直管(1.0MPa)黑色 dn75 6M/根(IDN)</v>
          </cell>
          <cell r="E1068" t="str">
            <v>HDPE Water Supply Pipe (1.0Mpa) dn75 6M/pcs Black(IDN)</v>
          </cell>
          <cell r="F1068">
            <v>1</v>
          </cell>
          <cell r="G1068">
            <v>310523</v>
          </cell>
          <cell r="H1068">
            <v>279751</v>
          </cell>
          <cell r="I1068">
            <v>0.12</v>
          </cell>
          <cell r="J1068">
            <v>317899</v>
          </cell>
          <cell r="K1068">
            <v>0.1</v>
          </cell>
          <cell r="L1068">
            <v>310835</v>
          </cell>
        </row>
        <row r="1069">
          <cell r="C1069">
            <v>8010036622</v>
          </cell>
          <cell r="D1069" t="str">
            <v>给水用聚乙烯HDPE直管(1.0MPa)黑色 dn75 11.8M/根(IDN)</v>
          </cell>
          <cell r="E1069" t="str">
            <v>HDPE Water Supply Pipe (1.0Mpa) dn75 11.8M/pcs Black(IDN)</v>
          </cell>
          <cell r="F1069">
            <v>1</v>
          </cell>
          <cell r="G1069">
            <v>610695</v>
          </cell>
          <cell r="H1069">
            <v>550176</v>
          </cell>
          <cell r="I1069">
            <v>0.12</v>
          </cell>
          <cell r="J1069">
            <v>625200</v>
          </cell>
          <cell r="K1069">
            <v>0.1</v>
          </cell>
          <cell r="L1069">
            <v>611307</v>
          </cell>
        </row>
        <row r="1070">
          <cell r="C1070">
            <v>8010036623</v>
          </cell>
          <cell r="D1070" t="str">
            <v>给水用聚乙烯HDPE直管(1.0MPa)黑色 dn75 12M/根(IDN)</v>
          </cell>
          <cell r="E1070" t="str">
            <v>HDPE Water Supply Pipe (1.0Mpa) dn75 12M/pcs Black(IDN)</v>
          </cell>
          <cell r="F1070">
            <v>1</v>
          </cell>
          <cell r="G1070">
            <v>621046</v>
          </cell>
          <cell r="H1070">
            <v>559501</v>
          </cell>
          <cell r="I1070">
            <v>0.12</v>
          </cell>
          <cell r="J1070">
            <v>635797</v>
          </cell>
          <cell r="K1070">
            <v>0.1</v>
          </cell>
          <cell r="L1070">
            <v>621668</v>
          </cell>
        </row>
        <row r="1071">
          <cell r="C1071">
            <v>8010036644</v>
          </cell>
          <cell r="D1071" t="str">
            <v>给水用聚乙烯HDPE直管(1.0MPa)黑色 dn90 5.8M/根(IDN)</v>
          </cell>
          <cell r="E1071" t="str">
            <v>HDPE Water Supply Pipe (1.0Mpa) dn90 5.8M/pcs Black(IDN)</v>
          </cell>
          <cell r="F1071">
            <v>1</v>
          </cell>
          <cell r="G1071">
            <v>433605</v>
          </cell>
          <cell r="H1071">
            <v>390636</v>
          </cell>
          <cell r="I1071">
            <v>0.12</v>
          </cell>
          <cell r="J1071">
            <v>443905</v>
          </cell>
          <cell r="K1071">
            <v>0.1</v>
          </cell>
          <cell r="L1071">
            <v>434040</v>
          </cell>
        </row>
        <row r="1072">
          <cell r="C1072">
            <v>8010036645</v>
          </cell>
          <cell r="D1072" t="str">
            <v>给水用聚乙烯HDPE直管(1.0MPa)黑色 dn90 6M/根(IDN)</v>
          </cell>
          <cell r="E1072" t="str">
            <v>HDPE Water Supply Pipe (1.0Mpa) dn90 6M/pcs Black(IDN)</v>
          </cell>
          <cell r="F1072">
            <v>1</v>
          </cell>
          <cell r="G1072">
            <v>448567</v>
          </cell>
          <cell r="H1072">
            <v>404115</v>
          </cell>
          <cell r="I1072">
            <v>0.12</v>
          </cell>
          <cell r="J1072">
            <v>459222</v>
          </cell>
          <cell r="K1072">
            <v>0.1</v>
          </cell>
          <cell r="L1072">
            <v>449017</v>
          </cell>
        </row>
        <row r="1073">
          <cell r="C1073">
            <v>8010036646</v>
          </cell>
          <cell r="D1073" t="str">
            <v>给水用聚乙烯HDPE直管(1.0MPa)黑色 dn90 11.8M/根(IDN)</v>
          </cell>
          <cell r="E1073" t="str">
            <v>HDPE Water Supply Pipe (1.0Mpa) dn90 11.8M/pcs Black(IDN)</v>
          </cell>
          <cell r="F1073">
            <v>1</v>
          </cell>
          <cell r="G1073">
            <v>882172</v>
          </cell>
          <cell r="H1073">
            <v>794750</v>
          </cell>
          <cell r="I1073">
            <v>0.12</v>
          </cell>
          <cell r="J1073">
            <v>903125</v>
          </cell>
          <cell r="K1073">
            <v>0.1</v>
          </cell>
          <cell r="L1073">
            <v>883056</v>
          </cell>
        </row>
        <row r="1074">
          <cell r="C1074">
            <v>8010036647</v>
          </cell>
          <cell r="D1074" t="str">
            <v>给水用聚乙烯HDPE直管(1.0MPa)黑色 dn90 12M/根(IDN)</v>
          </cell>
          <cell r="E1074" t="str">
            <v>HDPE Water Supply Pipe (1.0Mpa) dn90 12M/pcs Black(IDN)</v>
          </cell>
          <cell r="F1074">
            <v>1</v>
          </cell>
          <cell r="G1074">
            <v>897135</v>
          </cell>
          <cell r="H1074">
            <v>808230</v>
          </cell>
          <cell r="I1074">
            <v>0.12</v>
          </cell>
          <cell r="J1074">
            <v>918444</v>
          </cell>
          <cell r="K1074">
            <v>0.1</v>
          </cell>
          <cell r="L1074">
            <v>898034</v>
          </cell>
        </row>
        <row r="1075">
          <cell r="C1075">
            <v>8010036672</v>
          </cell>
          <cell r="D1075" t="str">
            <v>给水用聚乙烯HDPE直管(1.0MPa)黑色 dn110 5.8M/根(IDN)</v>
          </cell>
          <cell r="E1075" t="str">
            <v>HDPE Water Supply Pipe (1.0Mpa) dn110 5.8M/pcs Black(IDN)</v>
          </cell>
          <cell r="F1075">
            <v>1</v>
          </cell>
          <cell r="G1075">
            <v>647282</v>
          </cell>
          <cell r="H1075">
            <v>583137</v>
          </cell>
          <cell r="I1075">
            <v>0.12</v>
          </cell>
          <cell r="J1075">
            <v>662656</v>
          </cell>
          <cell r="K1075">
            <v>0.1</v>
          </cell>
          <cell r="L1075">
            <v>647930</v>
          </cell>
        </row>
        <row r="1076">
          <cell r="C1076">
            <v>8010036673</v>
          </cell>
          <cell r="D1076" t="str">
            <v>给水用聚乙烯HDPE直管(1.0MPa)黑色 dn110 6M/根(IDN)</v>
          </cell>
          <cell r="E1076" t="str">
            <v>HDPE Water Supply Pipe (1.0Mpa) dn110 6M/pcs Black(IDN)</v>
          </cell>
          <cell r="F1076">
            <v>1</v>
          </cell>
          <cell r="G1076">
            <v>669623</v>
          </cell>
          <cell r="H1076">
            <v>603264</v>
          </cell>
          <cell r="I1076">
            <v>0.12</v>
          </cell>
          <cell r="J1076">
            <v>685528</v>
          </cell>
          <cell r="K1076">
            <v>0.1</v>
          </cell>
          <cell r="L1076">
            <v>670294</v>
          </cell>
        </row>
        <row r="1077">
          <cell r="C1077">
            <v>8010036674</v>
          </cell>
          <cell r="D1077" t="str">
            <v>给水用聚乙烯HDPE直管(1.0MPa)黑色 dn110 11.8M/根(IDN)</v>
          </cell>
          <cell r="E1077" t="str">
            <v>HDPE Water Supply Pipe (1.0Mpa) dn110 11.8M/pcs Black(IDN)</v>
          </cell>
          <cell r="F1077">
            <v>1</v>
          </cell>
          <cell r="G1077">
            <v>1316905</v>
          </cell>
          <cell r="H1077">
            <v>1186401</v>
          </cell>
          <cell r="I1077">
            <v>0.12</v>
          </cell>
          <cell r="J1077">
            <v>1348183</v>
          </cell>
          <cell r="K1077">
            <v>0.1</v>
          </cell>
          <cell r="L1077">
            <v>1318224</v>
          </cell>
        </row>
        <row r="1078">
          <cell r="C1078">
            <v>8010036675</v>
          </cell>
          <cell r="D1078" t="str">
            <v>给水用聚乙烯HDPE直管(1.0MPa)黑色 dn110 12M/根(IDN)</v>
          </cell>
          <cell r="E1078" t="str">
            <v>HDPE Water Supply Pipe (1.0Mpa) dn110 12M/pcs Black(IDN)</v>
          </cell>
          <cell r="F1078">
            <v>1</v>
          </cell>
          <cell r="G1078">
            <v>1339246</v>
          </cell>
          <cell r="H1078">
            <v>1206528</v>
          </cell>
          <cell r="I1078">
            <v>0.12</v>
          </cell>
          <cell r="J1078">
            <v>1371055</v>
          </cell>
          <cell r="K1078">
            <v>0.1</v>
          </cell>
          <cell r="L1078">
            <v>1340587</v>
          </cell>
        </row>
        <row r="1079">
          <cell r="C1079">
            <v>8010036700</v>
          </cell>
          <cell r="D1079" t="str">
            <v>给水用聚乙烯HDPE直管(1.0MPa)黑色 dn125 5.8M/根(IDN)</v>
          </cell>
          <cell r="E1079" t="str">
            <v>HDPE Water Supply Pipe (1.0Mpa) dn125 5.8M/pcs Black(IDN)</v>
          </cell>
          <cell r="F1079">
            <v>1</v>
          </cell>
          <cell r="G1079">
            <v>825602</v>
          </cell>
          <cell r="H1079">
            <v>743786</v>
          </cell>
          <cell r="I1079">
            <v>0.12</v>
          </cell>
          <cell r="J1079">
            <v>845212</v>
          </cell>
          <cell r="K1079">
            <v>0.1</v>
          </cell>
          <cell r="L1079">
            <v>826429</v>
          </cell>
        </row>
        <row r="1080">
          <cell r="C1080">
            <v>8010036701</v>
          </cell>
          <cell r="D1080" t="str">
            <v>给水用聚乙烯HDPE直管(1.0MPa)黑色 dn125 6M/根(IDN)</v>
          </cell>
          <cell r="E1080" t="str">
            <v>HDPE Water Supply Pipe (1.0Mpa) dn125 6M/pcs Black(IDN)</v>
          </cell>
          <cell r="F1080">
            <v>1</v>
          </cell>
          <cell r="G1080">
            <v>854092</v>
          </cell>
          <cell r="H1080">
            <v>769453</v>
          </cell>
          <cell r="I1080">
            <v>0.12</v>
          </cell>
          <cell r="J1080">
            <v>874379</v>
          </cell>
          <cell r="K1080">
            <v>0.1</v>
          </cell>
          <cell r="L1080">
            <v>854948</v>
          </cell>
        </row>
        <row r="1081">
          <cell r="C1081">
            <v>8010036702</v>
          </cell>
          <cell r="D1081" t="str">
            <v>给水用聚乙烯HDPE直管(1.0MPa)黑色 dn125 11.8M/根(IDN)</v>
          </cell>
          <cell r="E1081" t="str">
            <v>HDPE Water Supply Pipe (1.0Mpa) dn125 11.8M/pcs Black(IDN)</v>
          </cell>
          <cell r="F1081">
            <v>1</v>
          </cell>
          <cell r="G1081">
            <v>1679694</v>
          </cell>
          <cell r="H1081">
            <v>1513238</v>
          </cell>
          <cell r="I1081">
            <v>0.12</v>
          </cell>
          <cell r="J1081">
            <v>1719589</v>
          </cell>
          <cell r="K1081">
            <v>0.1</v>
          </cell>
          <cell r="L1081">
            <v>1681376</v>
          </cell>
        </row>
        <row r="1082">
          <cell r="C1082">
            <v>8010036703</v>
          </cell>
          <cell r="D1082" t="str">
            <v>给水用聚乙烯HDPE直管(1.0MPa)黑色 dn125 12M/根(IDN)</v>
          </cell>
          <cell r="E1082" t="str">
            <v>HDPE Water Supply Pipe (1.0Mpa) dn125 12M/pcs Black(IDN)</v>
          </cell>
          <cell r="F1082">
            <v>1</v>
          </cell>
          <cell r="G1082">
            <v>1708184</v>
          </cell>
          <cell r="H1082">
            <v>1538905</v>
          </cell>
          <cell r="I1082">
            <v>0.12</v>
          </cell>
          <cell r="J1082">
            <v>1748756</v>
          </cell>
          <cell r="K1082">
            <v>0.1</v>
          </cell>
          <cell r="L1082">
            <v>1709895</v>
          </cell>
        </row>
        <row r="1083">
          <cell r="C1083">
            <v>8010036728</v>
          </cell>
          <cell r="D1083" t="str">
            <v>给水用聚乙烯HDPE直管(1.0MPa)黑色 dn140 5.8M/根(IDN)</v>
          </cell>
          <cell r="E1083" t="str">
            <v>HDPE Water Supply Pipe (1.0Mpa) dn140 5.8M/pcs Black(IDN)</v>
          </cell>
          <cell r="F1083">
            <v>1</v>
          </cell>
          <cell r="G1083">
            <v>1027134</v>
          </cell>
          <cell r="H1083">
            <v>925346</v>
          </cell>
          <cell r="I1083">
            <v>0.12</v>
          </cell>
          <cell r="J1083">
            <v>1051530</v>
          </cell>
          <cell r="K1083">
            <v>0.1</v>
          </cell>
          <cell r="L1083">
            <v>1028163</v>
          </cell>
        </row>
        <row r="1084">
          <cell r="C1084">
            <v>8010036729</v>
          </cell>
          <cell r="D1084" t="str">
            <v>给水用聚乙烯HDPE直管(1.0MPa)黑色 dn140 6M/根(IDN)</v>
          </cell>
          <cell r="E1084" t="str">
            <v>HDPE Water Supply Pipe (1.0Mpa) dn140 6M/pcs Black(IDN)</v>
          </cell>
          <cell r="F1084">
            <v>1</v>
          </cell>
          <cell r="G1084">
            <v>1062542</v>
          </cell>
          <cell r="H1084">
            <v>957246</v>
          </cell>
          <cell r="I1084">
            <v>0.12</v>
          </cell>
          <cell r="J1084">
            <v>1087780</v>
          </cell>
          <cell r="K1084">
            <v>0.1</v>
          </cell>
          <cell r="L1084">
            <v>1063607</v>
          </cell>
        </row>
        <row r="1085">
          <cell r="C1085">
            <v>8010036730</v>
          </cell>
          <cell r="D1085" t="str">
            <v>给水用聚乙烯HDPE直管(1.0MPa)黑色 dn140 11.8M/根(IDN)</v>
          </cell>
          <cell r="E1085" t="str">
            <v>HDPE Water Supply Pipe (1.0Mpa) dn140 11.8M/pcs Black(IDN)</v>
          </cell>
          <cell r="F1085">
            <v>1</v>
          </cell>
          <cell r="G1085">
            <v>2089677</v>
          </cell>
          <cell r="H1085">
            <v>1882592</v>
          </cell>
          <cell r="I1085">
            <v>0.12</v>
          </cell>
          <cell r="J1085">
            <v>2139310</v>
          </cell>
          <cell r="K1085">
            <v>0.1</v>
          </cell>
          <cell r="L1085">
            <v>2091769</v>
          </cell>
        </row>
        <row r="1086">
          <cell r="C1086">
            <v>8010036731</v>
          </cell>
          <cell r="D1086" t="str">
            <v>给水用聚乙烯HDPE直管(1.0MPa)黑色 dn140 12M/根(IDN)</v>
          </cell>
          <cell r="E1086" t="str">
            <v>HDPE Water Supply Pipe (1.0Mpa) dn140 12M/pcs Black(IDN)</v>
          </cell>
          <cell r="F1086">
            <v>1</v>
          </cell>
          <cell r="G1086">
            <v>2125085</v>
          </cell>
          <cell r="H1086">
            <v>1914491</v>
          </cell>
          <cell r="I1086">
            <v>0.12</v>
          </cell>
          <cell r="J1086">
            <v>2175558</v>
          </cell>
          <cell r="K1086">
            <v>0.1</v>
          </cell>
          <cell r="L1086">
            <v>2127213</v>
          </cell>
        </row>
        <row r="1087">
          <cell r="C1087">
            <v>8010036756</v>
          </cell>
          <cell r="D1087" t="str">
            <v>给水用聚乙烯HDPE直管(1.0MPa)黑色 dn160 5.8M/根(IDN)</v>
          </cell>
          <cell r="E1087" t="str">
            <v>HDPE Water Supply Pipe (1.0Mpa) dn160 5.8M/pcs Black(IDN)</v>
          </cell>
          <cell r="F1087">
            <v>1</v>
          </cell>
          <cell r="G1087">
            <v>1338016</v>
          </cell>
          <cell r="H1087">
            <v>1205420</v>
          </cell>
          <cell r="I1087">
            <v>0.12</v>
          </cell>
          <cell r="J1087">
            <v>1369796</v>
          </cell>
          <cell r="K1087">
            <v>0.1</v>
          </cell>
          <cell r="L1087">
            <v>1339356</v>
          </cell>
        </row>
        <row r="1088">
          <cell r="C1088">
            <v>8010036757</v>
          </cell>
          <cell r="D1088" t="str">
            <v>给水用聚乙烯HDPE直管(1.0MPa)黑色 dn160 6M/根(IDN)</v>
          </cell>
          <cell r="E1088" t="str">
            <v>HDPE Water Supply Pipe (1.0Mpa) dn160 6M/pcs Black(IDN)</v>
          </cell>
          <cell r="F1088">
            <v>1</v>
          </cell>
          <cell r="G1088">
            <v>1384133</v>
          </cell>
          <cell r="H1088">
            <v>1246967</v>
          </cell>
          <cell r="I1088">
            <v>0.12</v>
          </cell>
          <cell r="J1088">
            <v>1417008</v>
          </cell>
          <cell r="K1088">
            <v>0.1</v>
          </cell>
          <cell r="L1088">
            <v>1385519</v>
          </cell>
        </row>
        <row r="1089">
          <cell r="C1089">
            <v>8010036758</v>
          </cell>
          <cell r="D1089" t="str">
            <v>给水用聚乙烯HDPE直管(1.0MPa)黑色 dn160 11.8M/根(IDN)</v>
          </cell>
          <cell r="E1089" t="str">
            <v>HDPE Water Supply Pipe (1.0Mpa) dn160 11.8M/pcs Black(IDN)</v>
          </cell>
          <cell r="F1089">
            <v>1</v>
          </cell>
          <cell r="G1089">
            <v>2722150</v>
          </cell>
          <cell r="H1089">
            <v>2452388</v>
          </cell>
          <cell r="I1089">
            <v>0.12</v>
          </cell>
          <cell r="J1089">
            <v>2786805</v>
          </cell>
          <cell r="K1089">
            <v>0.1</v>
          </cell>
          <cell r="L1089">
            <v>2724876</v>
          </cell>
        </row>
        <row r="1090">
          <cell r="C1090">
            <v>8010036759</v>
          </cell>
          <cell r="D1090" t="str">
            <v>给水用聚乙烯HDPE直管(1.0MPa)黑色 dn160 12M/根(IDN)</v>
          </cell>
          <cell r="E1090" t="str">
            <v>HDPE Water Supply Pipe (1.0Mpa) dn160 12M/pcs Black(IDN)</v>
          </cell>
          <cell r="F1090">
            <v>1</v>
          </cell>
          <cell r="G1090">
            <v>2768267</v>
          </cell>
          <cell r="H1090">
            <v>2493935</v>
          </cell>
          <cell r="I1090">
            <v>0.12</v>
          </cell>
          <cell r="J1090">
            <v>2834018</v>
          </cell>
          <cell r="K1090">
            <v>0.1</v>
          </cell>
          <cell r="L1090">
            <v>2771039</v>
          </cell>
        </row>
        <row r="1091">
          <cell r="C1091">
            <v>8010036784</v>
          </cell>
          <cell r="D1091" t="str">
            <v>给水用聚乙烯HDPE直管(1.0MPa)黑色 dn180 5.8M/根(IDN)</v>
          </cell>
          <cell r="E1091" t="str">
            <v>HDPE Water Supply Pipe (1.0Mpa) dn180 5.8M/pcs Black(IDN)</v>
          </cell>
          <cell r="F1091">
            <v>1</v>
          </cell>
          <cell r="G1091">
            <v>1711259</v>
          </cell>
          <cell r="H1091">
            <v>1541675</v>
          </cell>
          <cell r="I1091">
            <v>0.12</v>
          </cell>
          <cell r="J1091">
            <v>1751904</v>
          </cell>
          <cell r="K1091">
            <v>0.1</v>
          </cell>
          <cell r="L1091">
            <v>1712973</v>
          </cell>
        </row>
        <row r="1092">
          <cell r="C1092">
            <v>8010036785</v>
          </cell>
          <cell r="D1092" t="str">
            <v>给水用聚乙烯HDPE直管(1.0MPa)黑色 dn180 6M/根(IDN)</v>
          </cell>
          <cell r="E1092" t="str">
            <v>HDPE Water Supply Pipe (1.0Mpa) dn180 6M/pcs Black(IDN)</v>
          </cell>
          <cell r="F1092">
            <v>1</v>
          </cell>
          <cell r="G1092">
            <v>1770289</v>
          </cell>
          <cell r="H1092">
            <v>1594855</v>
          </cell>
          <cell r="I1092">
            <v>0.12</v>
          </cell>
          <cell r="J1092">
            <v>1812336</v>
          </cell>
          <cell r="K1092">
            <v>0.1</v>
          </cell>
          <cell r="L1092">
            <v>1772062</v>
          </cell>
        </row>
        <row r="1093">
          <cell r="C1093">
            <v>8010036786</v>
          </cell>
          <cell r="D1093" t="str">
            <v>给水用聚乙烯HDPE直管(1.0MPa)黑色 dn180 11.8M/根(IDN)</v>
          </cell>
          <cell r="E1093" t="str">
            <v>HDPE Water Supply Pipe (1.0Mpa) dn180 11.8M/pcs Black(IDN)</v>
          </cell>
          <cell r="F1093">
            <v>1</v>
          </cell>
          <cell r="G1093">
            <v>3481548</v>
          </cell>
          <cell r="H1093">
            <v>3136530</v>
          </cell>
          <cell r="I1093">
            <v>0.12</v>
          </cell>
          <cell r="J1093">
            <v>3564239</v>
          </cell>
          <cell r="K1093">
            <v>0.1</v>
          </cell>
          <cell r="L1093">
            <v>3485034</v>
          </cell>
        </row>
        <row r="1094">
          <cell r="C1094">
            <v>8010036787</v>
          </cell>
          <cell r="D1094" t="str">
            <v>给水用聚乙烯HDPE直管(1.0MPa)黑色 dn180 12M/根(IDN)</v>
          </cell>
          <cell r="E1094" t="str">
            <v>HDPE Water Supply Pipe (1.0Mpa) dn180 12M/pcs Black(IDN)</v>
          </cell>
          <cell r="F1094">
            <v>1</v>
          </cell>
          <cell r="G1094">
            <v>3540578</v>
          </cell>
          <cell r="H1094">
            <v>3189710</v>
          </cell>
          <cell r="I1094">
            <v>0.12</v>
          </cell>
          <cell r="J1094">
            <v>3624671</v>
          </cell>
          <cell r="K1094">
            <v>0.1</v>
          </cell>
          <cell r="L1094">
            <v>3544123</v>
          </cell>
        </row>
        <row r="1095">
          <cell r="C1095">
            <v>8010036812</v>
          </cell>
          <cell r="D1095" t="str">
            <v>给水用聚乙烯HDPE直管(1.0MPa)黑色 dn200 5.8M/根(IDN)</v>
          </cell>
          <cell r="E1095" t="str">
            <v>HDPE Water Supply Pipe (1.0Mpa) dn200 5.8M/pcs Black(IDN)</v>
          </cell>
          <cell r="F1095">
            <v>1</v>
          </cell>
          <cell r="G1095">
            <v>2090497</v>
          </cell>
          <cell r="H1095">
            <v>1883331</v>
          </cell>
          <cell r="I1095">
            <v>0.12</v>
          </cell>
          <cell r="J1095">
            <v>2140149</v>
          </cell>
          <cell r="K1095">
            <v>0.1</v>
          </cell>
          <cell r="L1095">
            <v>2092590</v>
          </cell>
        </row>
        <row r="1096">
          <cell r="C1096">
            <v>8010036813</v>
          </cell>
          <cell r="D1096" t="str">
            <v>给水用聚乙烯HDPE直管(1.0MPa)黑色 dn200 6M/根(IDN)</v>
          </cell>
          <cell r="E1096" t="str">
            <v>HDPE Water Supply Pipe (1.0Mpa) dn200 6M/pcs Black(IDN)</v>
          </cell>
          <cell r="F1096">
            <v>1</v>
          </cell>
          <cell r="G1096">
            <v>2162593</v>
          </cell>
          <cell r="H1096">
            <v>1948282</v>
          </cell>
          <cell r="I1096">
            <v>0.12</v>
          </cell>
          <cell r="J1096">
            <v>2213957</v>
          </cell>
          <cell r="K1096">
            <v>0.1</v>
          </cell>
          <cell r="L1096">
            <v>2164758</v>
          </cell>
        </row>
        <row r="1097">
          <cell r="C1097">
            <v>8010036814</v>
          </cell>
          <cell r="D1097" t="str">
            <v>给水用聚乙烯HDPE直管(1.0MPa)黑色 dn200 11.8M/根(IDN)</v>
          </cell>
          <cell r="E1097" t="str">
            <v>HDPE Water Supply Pipe (1.0Mpa) dn200 11.8M/pcs Black(IDN)</v>
          </cell>
          <cell r="F1097">
            <v>1</v>
          </cell>
          <cell r="G1097">
            <v>4253090</v>
          </cell>
          <cell r="H1097">
            <v>3831613</v>
          </cell>
          <cell r="I1097">
            <v>0.12</v>
          </cell>
          <cell r="J1097">
            <v>4354106</v>
          </cell>
          <cell r="K1097">
            <v>0.1</v>
          </cell>
          <cell r="L1097">
            <v>4257348</v>
          </cell>
        </row>
        <row r="1098">
          <cell r="C1098">
            <v>8010036815</v>
          </cell>
          <cell r="D1098" t="str">
            <v>给水用聚乙烯HDPE直管(1.0MPa)黑色 dn200 12M/根(IDN)</v>
          </cell>
          <cell r="E1098" t="str">
            <v>HDPE Water Supply Pipe (1.0Mpa) dn200 12M/pcs Black(IDN)</v>
          </cell>
          <cell r="F1098">
            <v>1</v>
          </cell>
          <cell r="G1098">
            <v>4325187</v>
          </cell>
          <cell r="H1098">
            <v>3896565</v>
          </cell>
          <cell r="I1098">
            <v>0.12</v>
          </cell>
          <cell r="J1098">
            <v>4427915</v>
          </cell>
          <cell r="K1098">
            <v>0.1</v>
          </cell>
          <cell r="L1098">
            <v>4329517</v>
          </cell>
        </row>
        <row r="1099">
          <cell r="C1099">
            <v>8010036840</v>
          </cell>
          <cell r="D1099" t="str">
            <v>给水用聚乙烯HDPE直管(1.0MPa)黑色 dn225 5.8M/根(IDN)</v>
          </cell>
          <cell r="E1099" t="str">
            <v>HDPE Water Supply Pipe (1.0Mpa) dn225 5.8M/pcs Black(IDN)</v>
          </cell>
          <cell r="F1099">
            <v>1</v>
          </cell>
          <cell r="G1099">
            <v>2678390</v>
          </cell>
          <cell r="H1099">
            <v>2412964</v>
          </cell>
          <cell r="I1099">
            <v>0.12</v>
          </cell>
          <cell r="J1099">
            <v>2742005</v>
          </cell>
          <cell r="K1099">
            <v>0.1</v>
          </cell>
          <cell r="L1099">
            <v>2681072</v>
          </cell>
        </row>
        <row r="1100">
          <cell r="C1100">
            <v>8010036841</v>
          </cell>
          <cell r="D1100" t="str">
            <v>给水用聚乙烯HDPE直管(1.0MPa)黑色 dn225 6M/根(IDN)</v>
          </cell>
          <cell r="E1100" t="str">
            <v>HDPE Water Supply Pipe (1.0Mpa) dn225 6M/pcs Black(IDN)</v>
          </cell>
          <cell r="F1100">
            <v>1</v>
          </cell>
          <cell r="G1100">
            <v>2770727</v>
          </cell>
          <cell r="H1100">
            <v>2496151</v>
          </cell>
          <cell r="I1100">
            <v>0.12</v>
          </cell>
          <cell r="J1100">
            <v>2836536</v>
          </cell>
          <cell r="K1100">
            <v>0.1</v>
          </cell>
          <cell r="L1100">
            <v>2773502</v>
          </cell>
        </row>
        <row r="1101">
          <cell r="C1101">
            <v>8010036842</v>
          </cell>
          <cell r="D1101" t="str">
            <v>给水用聚乙烯HDPE直管(1.0MPa)黑色 dn225 11.8M/根(IDN)</v>
          </cell>
          <cell r="E1101" t="str">
            <v>HDPE Water Supply Pipe (1.0Mpa) dn225 11.8M/pcs Black(IDN)</v>
          </cell>
          <cell r="F1101">
            <v>1</v>
          </cell>
          <cell r="G1101">
            <v>5449117</v>
          </cell>
          <cell r="H1101">
            <v>4909115</v>
          </cell>
          <cell r="I1101">
            <v>0.12</v>
          </cell>
          <cell r="J1101">
            <v>5578540</v>
          </cell>
          <cell r="K1101">
            <v>0.1</v>
          </cell>
          <cell r="L1101">
            <v>5454573</v>
          </cell>
        </row>
        <row r="1102">
          <cell r="C1102">
            <v>8010036843</v>
          </cell>
          <cell r="D1102" t="str">
            <v>给水用聚乙烯HDPE直管(1.0MPa)黑色 dn225 12M/根(IDN)</v>
          </cell>
          <cell r="E1102" t="str">
            <v>HDPE Water Supply Pipe (1.0Mpa) dn225 12M/pcs Black(IDN)</v>
          </cell>
          <cell r="F1102">
            <v>1</v>
          </cell>
          <cell r="G1102">
            <v>5541454</v>
          </cell>
          <cell r="H1102">
            <v>4992301</v>
          </cell>
          <cell r="I1102">
            <v>0.12</v>
          </cell>
          <cell r="J1102">
            <v>5673070</v>
          </cell>
          <cell r="K1102">
            <v>0.1</v>
          </cell>
          <cell r="L1102">
            <v>5547002</v>
          </cell>
        </row>
        <row r="1103">
          <cell r="C1103">
            <v>8010036868</v>
          </cell>
          <cell r="D1103" t="str">
            <v>给水用聚乙烯HDPE直管(1.0MPa)黑色 dn250 5.8M/根(IDN)</v>
          </cell>
          <cell r="E1103" t="str">
            <v>HDPE Water Supply Pipe (1.0Mpa) dn250 5.8M/pcs Black(IDN)</v>
          </cell>
          <cell r="F1103">
            <v>1</v>
          </cell>
          <cell r="G1103">
            <v>3282270</v>
          </cell>
          <cell r="H1103">
            <v>2957000</v>
          </cell>
          <cell r="I1103">
            <v>0.12</v>
          </cell>
          <cell r="J1103">
            <v>3360228</v>
          </cell>
          <cell r="K1103">
            <v>0.1</v>
          </cell>
          <cell r="L1103">
            <v>3285556</v>
          </cell>
        </row>
        <row r="1104">
          <cell r="C1104">
            <v>8010036869</v>
          </cell>
          <cell r="D1104" t="str">
            <v>给水用聚乙烯HDPE直管(1.0MPa)黑色 dn250 6M/根(IDN)</v>
          </cell>
          <cell r="E1104" t="str">
            <v>HDPE Water Supply Pipe (1.0Mpa) dn250 6M/pcs Black(IDN)</v>
          </cell>
          <cell r="F1104">
            <v>1</v>
          </cell>
          <cell r="G1104">
            <v>3395462</v>
          </cell>
          <cell r="H1104">
            <v>3058975</v>
          </cell>
          <cell r="I1104">
            <v>0.12</v>
          </cell>
          <cell r="J1104">
            <v>3476108</v>
          </cell>
          <cell r="K1104">
            <v>0.1</v>
          </cell>
          <cell r="L1104">
            <v>3398862</v>
          </cell>
        </row>
        <row r="1105">
          <cell r="C1105">
            <v>8010036870</v>
          </cell>
          <cell r="D1105" t="str">
            <v>给水用聚乙烯HDPE直管(1.0MPa)黑色 dn250 11.8M/根(IDN)</v>
          </cell>
          <cell r="E1105" t="str">
            <v>HDPE Water Supply Pipe (1.0Mpa) dn250 11.8M/pcs Black(IDN)</v>
          </cell>
          <cell r="F1105">
            <v>1</v>
          </cell>
          <cell r="G1105">
            <v>6677733</v>
          </cell>
          <cell r="H1105">
            <v>6015976</v>
          </cell>
          <cell r="I1105">
            <v>0.12</v>
          </cell>
          <cell r="J1105">
            <v>6836337</v>
          </cell>
          <cell r="K1105">
            <v>0.1</v>
          </cell>
          <cell r="L1105">
            <v>6684418</v>
          </cell>
        </row>
        <row r="1106">
          <cell r="C1106">
            <v>8010036871</v>
          </cell>
          <cell r="D1106" t="str">
            <v>给水用聚乙烯HDPE直管(1.0MPa)黑色 dn250 12M/根(IDN)</v>
          </cell>
          <cell r="E1106" t="str">
            <v>HDPE Water Supply Pipe (1.0Mpa) dn250 12M/pcs Black(IDN)</v>
          </cell>
          <cell r="F1106">
            <v>1</v>
          </cell>
          <cell r="G1106">
            <v>6790925</v>
          </cell>
          <cell r="H1106">
            <v>6117951</v>
          </cell>
          <cell r="I1106">
            <v>0.12</v>
          </cell>
          <cell r="J1106">
            <v>6952218</v>
          </cell>
          <cell r="K1106">
            <v>0.1</v>
          </cell>
          <cell r="L1106">
            <v>6797724</v>
          </cell>
        </row>
        <row r="1107">
          <cell r="C1107">
            <v>8010036896</v>
          </cell>
          <cell r="D1107" t="str">
            <v>给水用聚乙烯HDPE直管(1.0MPa)黑色 dn280 5.8M/根(IDN)</v>
          </cell>
          <cell r="E1107" t="str">
            <v>HDPE Water Supply Pipe (1.0Mpa) dn280 5.8M/pcs Black(IDN)</v>
          </cell>
          <cell r="F1107">
            <v>1</v>
          </cell>
          <cell r="G1107">
            <v>4123655</v>
          </cell>
          <cell r="H1107">
            <v>3715005</v>
          </cell>
          <cell r="I1107">
            <v>0.12</v>
          </cell>
          <cell r="J1107">
            <v>4221597</v>
          </cell>
          <cell r="K1107">
            <v>0.1</v>
          </cell>
          <cell r="L1107">
            <v>4127784</v>
          </cell>
        </row>
        <row r="1108">
          <cell r="C1108">
            <v>8010036897</v>
          </cell>
          <cell r="D1108" t="str">
            <v>给水用聚乙烯HDPE直管(1.0MPa)黑色 dn280 6M/根(IDN)</v>
          </cell>
          <cell r="E1108" t="str">
            <v>HDPE Water Supply Pipe (1.0Mpa) dn280 6M/pcs Black(IDN)</v>
          </cell>
          <cell r="F1108">
            <v>1</v>
          </cell>
          <cell r="G1108">
            <v>4265849</v>
          </cell>
          <cell r="H1108">
            <v>3843108</v>
          </cell>
          <cell r="I1108">
            <v>0.12</v>
          </cell>
          <cell r="J1108">
            <v>4367169</v>
          </cell>
          <cell r="K1108">
            <v>0.1</v>
          </cell>
          <cell r="L1108">
            <v>4270120</v>
          </cell>
        </row>
        <row r="1109">
          <cell r="C1109">
            <v>8010036898</v>
          </cell>
          <cell r="D1109" t="str">
            <v>给水用聚乙烯HDPE直管(1.0MPa)黑色 dn280 11.8M/根(IDN)</v>
          </cell>
          <cell r="E1109" t="str">
            <v>HDPE Water Supply Pipe (1.0Mpa) dn280 11.8M/pcs Black(IDN)</v>
          </cell>
          <cell r="F1109">
            <v>1</v>
          </cell>
          <cell r="G1109">
            <v>8389504</v>
          </cell>
          <cell r="H1109">
            <v>7558112</v>
          </cell>
          <cell r="I1109">
            <v>0.12</v>
          </cell>
          <cell r="J1109">
            <v>8588764</v>
          </cell>
          <cell r="K1109">
            <v>0.1</v>
          </cell>
          <cell r="L1109">
            <v>8397903</v>
          </cell>
        </row>
        <row r="1110">
          <cell r="C1110">
            <v>8010036899</v>
          </cell>
          <cell r="D1110" t="str">
            <v>给水用聚乙烯HDPE直管(1.0MPa)黑色 dn280 12M/根(IDN)</v>
          </cell>
          <cell r="E1110" t="str">
            <v>HDPE Water Supply Pipe (1.0Mpa) dn280 12M/pcs Black(IDN)</v>
          </cell>
          <cell r="F1110">
            <v>1</v>
          </cell>
          <cell r="G1110">
            <v>8531699</v>
          </cell>
          <cell r="H1110">
            <v>7686216</v>
          </cell>
          <cell r="I1110">
            <v>0.12</v>
          </cell>
          <cell r="J1110">
            <v>8734337</v>
          </cell>
          <cell r="K1110">
            <v>0.1</v>
          </cell>
          <cell r="L1110">
            <v>8540240</v>
          </cell>
        </row>
        <row r="1111">
          <cell r="C1111">
            <v>8010036924</v>
          </cell>
          <cell r="D1111" t="str">
            <v>给水用聚乙烯HDPE直管(1.0MPa)黑色 dn315 11.8M/根(IDN)</v>
          </cell>
          <cell r="E1111" t="str">
            <v>HDPE Water Supply Pipe (1.0Mpa) dn315 11.8M/pcs Black(IDN)</v>
          </cell>
          <cell r="F1111">
            <v>1</v>
          </cell>
          <cell r="G1111">
            <v>10624297</v>
          </cell>
          <cell r="H1111">
            <v>9571439</v>
          </cell>
          <cell r="I1111">
            <v>0.12</v>
          </cell>
          <cell r="J1111">
            <v>10876636</v>
          </cell>
          <cell r="K1111">
            <v>0.1</v>
          </cell>
          <cell r="L1111">
            <v>10634933</v>
          </cell>
        </row>
        <row r="1112">
          <cell r="C1112">
            <v>8010036925</v>
          </cell>
          <cell r="D1112" t="str">
            <v>给水用聚乙烯HDPE直管(1.0MPa)黑色 dn315 12M/根(IDN)</v>
          </cell>
          <cell r="E1112" t="str">
            <v>HDPE Water Supply Pipe (1.0Mpa) dn315 12M/pcs Black(IDN)</v>
          </cell>
          <cell r="F1112">
            <v>1</v>
          </cell>
          <cell r="G1112">
            <v>10804360</v>
          </cell>
          <cell r="H1112">
            <v>9733658</v>
          </cell>
          <cell r="I1112">
            <v>0.12</v>
          </cell>
          <cell r="J1112">
            <v>11060975</v>
          </cell>
          <cell r="K1112">
            <v>0.1</v>
          </cell>
          <cell r="L1112">
            <v>10815176</v>
          </cell>
        </row>
        <row r="1113">
          <cell r="C1113">
            <v>8010036926</v>
          </cell>
          <cell r="D1113" t="str">
            <v>给水用聚乙烯HDPE直管(1.0MPa)黑色 dn315 5.8M/根(IDN)</v>
          </cell>
          <cell r="E1113" t="str">
            <v>HDPE Water Supply Pipe (1.0Mpa) dn315 5.8M/pcs Black(IDN)</v>
          </cell>
          <cell r="F1113">
            <v>1</v>
          </cell>
          <cell r="G1113">
            <v>5222117</v>
          </cell>
          <cell r="H1113">
            <v>4704610</v>
          </cell>
          <cell r="I1113">
            <v>0.12</v>
          </cell>
          <cell r="J1113">
            <v>5346148</v>
          </cell>
          <cell r="K1113">
            <v>0.1</v>
          </cell>
          <cell r="L1113">
            <v>5227345</v>
          </cell>
        </row>
        <row r="1114">
          <cell r="C1114">
            <v>8010036927</v>
          </cell>
          <cell r="D1114" t="str">
            <v>给水用聚乙烯HDPE直管(1.0MPa)黑色 dn315 6M/根(IDN)</v>
          </cell>
          <cell r="E1114" t="str">
            <v>HDPE Water Supply Pipe (1.0Mpa) dn315 6M/pcs Black(IDN)</v>
          </cell>
          <cell r="F1114">
            <v>1</v>
          </cell>
          <cell r="G1114">
            <v>5402180</v>
          </cell>
          <cell r="H1114">
            <v>4866829</v>
          </cell>
          <cell r="I1114">
            <v>0.12</v>
          </cell>
          <cell r="J1114">
            <v>5530488</v>
          </cell>
          <cell r="K1114">
            <v>0.1</v>
          </cell>
          <cell r="L1114">
            <v>5407588</v>
          </cell>
        </row>
        <row r="1115">
          <cell r="C1115">
            <v>8010036952</v>
          </cell>
          <cell r="D1115" t="str">
            <v>给水用聚乙烯HDPE直管(1.0MPa)黑色 dn355 5.8M/根(IDN)</v>
          </cell>
          <cell r="E1115" t="str">
            <v>HDPE Water Supply Pipe (1.0Mpa) dn355 5.8M/pcs Black(IDN)</v>
          </cell>
          <cell r="F1115">
            <v>1</v>
          </cell>
          <cell r="G1115">
            <v>6646578</v>
          </cell>
          <cell r="H1115">
            <v>5987909</v>
          </cell>
          <cell r="I1115">
            <v>0.12</v>
          </cell>
          <cell r="J1115">
            <v>6804443</v>
          </cell>
          <cell r="K1115">
            <v>0.1</v>
          </cell>
          <cell r="L1115">
            <v>6653233</v>
          </cell>
        </row>
        <row r="1116">
          <cell r="C1116">
            <v>8010036953</v>
          </cell>
          <cell r="D1116" t="str">
            <v>给水用聚乙烯HDPE直管(1.0MPa)黑色 dn355 6M/根(IDN)</v>
          </cell>
          <cell r="E1116" t="str">
            <v>HDPE Water Supply Pipe (1.0Mpa) dn355 6M/pcs Black(IDN)</v>
          </cell>
          <cell r="F1116">
            <v>1</v>
          </cell>
          <cell r="G1116">
            <v>6875781</v>
          </cell>
          <cell r="H1116">
            <v>6194398</v>
          </cell>
          <cell r="I1116">
            <v>0.12</v>
          </cell>
          <cell r="J1116">
            <v>7039089</v>
          </cell>
          <cell r="K1116">
            <v>0.1</v>
          </cell>
          <cell r="L1116">
            <v>6882665</v>
          </cell>
        </row>
        <row r="1117">
          <cell r="C1117">
            <v>8010036954</v>
          </cell>
          <cell r="D1117" t="str">
            <v>给水用聚乙烯HDPE直管(1.0MPa)黑色 dn355 11.8M/根(IDN)</v>
          </cell>
          <cell r="E1117" t="str">
            <v>HDPE Water Supply Pipe (1.0Mpa) dn355 11.8M/pcs Black(IDN)</v>
          </cell>
          <cell r="F1117">
            <v>1</v>
          </cell>
          <cell r="G1117">
            <v>13522359</v>
          </cell>
          <cell r="H1117">
            <v>12182306</v>
          </cell>
          <cell r="I1117">
            <v>0.12</v>
          </cell>
          <cell r="J1117">
            <v>13843530</v>
          </cell>
          <cell r="K1117">
            <v>0.1</v>
          </cell>
          <cell r="L1117">
            <v>13535896</v>
          </cell>
        </row>
        <row r="1118">
          <cell r="C1118">
            <v>8010036955</v>
          </cell>
          <cell r="D1118" t="str">
            <v>给水用聚乙烯HDPE直管(1.0MPa)黑色 dn355 12M/根(IDN)</v>
          </cell>
          <cell r="E1118" t="str">
            <v>HDPE Water Supply Pipe (1.0Mpa) dn355 12M/pcs Black(IDN)</v>
          </cell>
          <cell r="F1118">
            <v>1</v>
          </cell>
          <cell r="G1118">
            <v>13751562</v>
          </cell>
          <cell r="H1118">
            <v>12388795</v>
          </cell>
          <cell r="I1118">
            <v>0.12</v>
          </cell>
          <cell r="J1118">
            <v>14078177</v>
          </cell>
          <cell r="K1118">
            <v>0.1</v>
          </cell>
          <cell r="L1118">
            <v>13765328</v>
          </cell>
        </row>
        <row r="1119">
          <cell r="C1119">
            <v>8010036980</v>
          </cell>
          <cell r="D1119" t="str">
            <v>给水用聚乙烯HDPE直管(1.0MPa)黑色 dn400 5.8M/根(IDN)</v>
          </cell>
          <cell r="E1119" t="str">
            <v>HDPE Water Supply Pipe (1.0Mpa) dn400 5.8M/pcs Black(IDN)</v>
          </cell>
          <cell r="F1119">
            <v>1</v>
          </cell>
          <cell r="G1119">
            <v>8399753</v>
          </cell>
          <cell r="H1119">
            <v>7567346</v>
          </cell>
          <cell r="I1119">
            <v>0.12</v>
          </cell>
          <cell r="J1119">
            <v>8599257</v>
          </cell>
          <cell r="K1119">
            <v>0.1</v>
          </cell>
          <cell r="L1119">
            <v>8408163</v>
          </cell>
        </row>
        <row r="1120">
          <cell r="C1120">
            <v>8010036981</v>
          </cell>
          <cell r="D1120" t="str">
            <v>给水用聚乙烯HDPE直管(1.0MPa)黑色 dn400 6M/根(IDN)</v>
          </cell>
          <cell r="E1120" t="str">
            <v>HDPE Water Supply Pipe (1.0Mpa) dn400 6M/pcs Black(IDN)</v>
          </cell>
          <cell r="F1120">
            <v>1</v>
          </cell>
          <cell r="G1120">
            <v>8689420</v>
          </cell>
          <cell r="H1120">
            <v>7828307</v>
          </cell>
          <cell r="I1120">
            <v>0.12</v>
          </cell>
          <cell r="J1120">
            <v>8895804</v>
          </cell>
          <cell r="K1120">
            <v>0.1</v>
          </cell>
          <cell r="L1120">
            <v>8698119</v>
          </cell>
        </row>
        <row r="1121">
          <cell r="C1121">
            <v>8010036982</v>
          </cell>
          <cell r="D1121" t="str">
            <v>给水用聚乙烯HDPE直管(1.0MPa)黑色 dn400 11.8M/根(IDN)</v>
          </cell>
          <cell r="E1121" t="str">
            <v>HDPE Water Supply Pipe (1.0Mpa) dn400 11.8M/pcs Black(IDN)</v>
          </cell>
          <cell r="F1121">
            <v>1</v>
          </cell>
          <cell r="G1121">
            <v>17089173</v>
          </cell>
          <cell r="H1121">
            <v>15395652</v>
          </cell>
          <cell r="I1121">
            <v>0.12</v>
          </cell>
          <cell r="J1121">
            <v>17495060</v>
          </cell>
          <cell r="K1121">
            <v>0.1</v>
          </cell>
          <cell r="L1121">
            <v>17106280</v>
          </cell>
        </row>
        <row r="1122">
          <cell r="C1122">
            <v>8010036983</v>
          </cell>
          <cell r="D1122" t="str">
            <v>给水用聚乙烯HDPE直管(1.0MPa)黑色 dn400 12M/根(IDN)</v>
          </cell>
          <cell r="E1122" t="str">
            <v>HDPE Water Supply Pipe (1.0Mpa) dn400 12M/pcs Black(IDN)</v>
          </cell>
          <cell r="F1122">
            <v>1</v>
          </cell>
          <cell r="G1122">
            <v>17378841</v>
          </cell>
          <cell r="H1122">
            <v>15656614</v>
          </cell>
          <cell r="I1122">
            <v>0.12</v>
          </cell>
          <cell r="J1122">
            <v>17791607</v>
          </cell>
          <cell r="K1122">
            <v>0.1</v>
          </cell>
          <cell r="L1122">
            <v>17396238</v>
          </cell>
        </row>
        <row r="1123">
          <cell r="C1123">
            <v>8010037008</v>
          </cell>
          <cell r="D1123" t="str">
            <v>给水用聚乙烯HDPE直管(1.0MPa)黑色 dn450 5.8M/根(IDN)</v>
          </cell>
          <cell r="E1123" t="str">
            <v>HDPE Water Supply Pipe (1.0Mpa) dn450 5.8M/pcs Black(IDN)</v>
          </cell>
          <cell r="F1123">
            <v>1</v>
          </cell>
          <cell r="G1123">
            <v>10641873</v>
          </cell>
          <cell r="H1123">
            <v>9587273</v>
          </cell>
          <cell r="I1123">
            <v>0.12</v>
          </cell>
          <cell r="J1123">
            <v>10894629</v>
          </cell>
          <cell r="K1123">
            <v>0.1</v>
          </cell>
          <cell r="L1123">
            <v>10652526</v>
          </cell>
        </row>
        <row r="1124">
          <cell r="C1124">
            <v>8010037009</v>
          </cell>
          <cell r="D1124" t="str">
            <v>给水用聚乙烯HDPE直管(1.0MPa)黑色 dn450 6M/根(IDN)</v>
          </cell>
          <cell r="E1124" t="str">
            <v>HDPE Water Supply Pipe (1.0Mpa) dn450 6M/pcs Black(IDN)</v>
          </cell>
          <cell r="F1124">
            <v>1</v>
          </cell>
          <cell r="G1124">
            <v>11008813</v>
          </cell>
          <cell r="H1124">
            <v>9917850</v>
          </cell>
          <cell r="I1124">
            <v>0.12</v>
          </cell>
          <cell r="J1124">
            <v>11270285</v>
          </cell>
          <cell r="K1124">
            <v>0.1</v>
          </cell>
          <cell r="L1124">
            <v>11019834</v>
          </cell>
        </row>
        <row r="1125">
          <cell r="C1125">
            <v>8010037010</v>
          </cell>
          <cell r="D1125" t="str">
            <v>给水用聚乙烯HDPE直管(1.0MPa)黑色 dn450 11.8M/根(IDN)</v>
          </cell>
          <cell r="E1125" t="str">
            <v>HDPE Water Supply Pipe (1.0Mpa) dn450 11.8M/pcs Black(IDN)</v>
          </cell>
          <cell r="F1125">
            <v>1</v>
          </cell>
          <cell r="G1125">
            <v>21650686</v>
          </cell>
          <cell r="H1125">
            <v>19505123</v>
          </cell>
          <cell r="I1125">
            <v>0.12</v>
          </cell>
          <cell r="J1125">
            <v>22164913</v>
          </cell>
          <cell r="K1125">
            <v>0.1</v>
          </cell>
          <cell r="L1125">
            <v>21672359</v>
          </cell>
        </row>
        <row r="1126">
          <cell r="C1126">
            <v>8010037011</v>
          </cell>
          <cell r="D1126" t="str">
            <v>给水用聚乙烯HDPE直管(1.0MPa)黑色 dn450 12M/根(IDN)</v>
          </cell>
          <cell r="E1126" t="str">
            <v>HDPE Water Supply Pipe (1.0Mpa) dn450 12M/pcs Black(IDN)</v>
          </cell>
          <cell r="F1126">
            <v>1</v>
          </cell>
          <cell r="G1126">
            <v>22017626</v>
          </cell>
          <cell r="H1126">
            <v>19835700</v>
          </cell>
          <cell r="I1126">
            <v>0.12</v>
          </cell>
          <cell r="J1126">
            <v>22540569</v>
          </cell>
          <cell r="K1126">
            <v>0.1</v>
          </cell>
          <cell r="L1126">
            <v>22039667</v>
          </cell>
        </row>
        <row r="1127">
          <cell r="C1127">
            <v>8010037036</v>
          </cell>
          <cell r="D1127" t="str">
            <v>给水用聚乙烯HDPE直管(1.0MPa)黑色 dn500 5.8M/根(IDN)</v>
          </cell>
          <cell r="E1127" t="str">
            <v>HDPE Water Supply Pipe (1.0Mpa) dn500 5.8M/pcs Black(IDN)</v>
          </cell>
          <cell r="F1127">
            <v>1</v>
          </cell>
          <cell r="G1127">
            <v>13152908</v>
          </cell>
          <cell r="H1127">
            <v>11849467</v>
          </cell>
          <cell r="I1127">
            <v>0.12</v>
          </cell>
          <cell r="J1127">
            <v>13465304</v>
          </cell>
          <cell r="K1127">
            <v>0.1</v>
          </cell>
          <cell r="L1127">
            <v>13166075</v>
          </cell>
        </row>
        <row r="1128">
          <cell r="C1128">
            <v>8010037037</v>
          </cell>
          <cell r="D1128" t="str">
            <v>给水用聚乙烯HDPE直管(1.0MPa)黑色 dn500 6M/根(IDN)</v>
          </cell>
          <cell r="E1128" t="str">
            <v>HDPE Water Supply Pipe (1.0Mpa) dn500 6M/pcs Black(IDN)</v>
          </cell>
          <cell r="F1128">
            <v>1</v>
          </cell>
          <cell r="G1128">
            <v>13606446</v>
          </cell>
          <cell r="H1128">
            <v>12258060</v>
          </cell>
          <cell r="I1128">
            <v>0.12</v>
          </cell>
          <cell r="J1128">
            <v>13929614</v>
          </cell>
          <cell r="K1128">
            <v>0.1</v>
          </cell>
          <cell r="L1128">
            <v>13620067</v>
          </cell>
        </row>
        <row r="1129">
          <cell r="C1129">
            <v>8010037038</v>
          </cell>
          <cell r="D1129" t="str">
            <v>给水用聚乙烯HDPE直管(1.0MPa)黑色 dn500 11.8M/根(IDN)</v>
          </cell>
          <cell r="E1129" t="str">
            <v>HDPE Water Supply Pipe (1.0Mpa) dn500 11.8M/pcs Black(IDN)</v>
          </cell>
          <cell r="F1129">
            <v>1</v>
          </cell>
          <cell r="G1129">
            <v>26759355</v>
          </cell>
          <cell r="H1129">
            <v>24107528</v>
          </cell>
          <cell r="I1129">
            <v>0.12</v>
          </cell>
          <cell r="J1129">
            <v>27394919</v>
          </cell>
          <cell r="K1129">
            <v>0.1</v>
          </cell>
          <cell r="L1129">
            <v>26786143</v>
          </cell>
        </row>
        <row r="1130">
          <cell r="C1130">
            <v>8010037039</v>
          </cell>
          <cell r="D1130" t="str">
            <v>给水用聚乙烯HDPE直管(1.0MPa)黑色 dn500 12M/根(IDN)</v>
          </cell>
          <cell r="E1130" t="str">
            <v>HDPE Water Supply Pipe (1.0Mpa) dn500 12M/pcs Black(IDN)</v>
          </cell>
          <cell r="F1130">
            <v>1</v>
          </cell>
          <cell r="G1130">
            <v>27212893</v>
          </cell>
          <cell r="H1130">
            <v>24516120</v>
          </cell>
          <cell r="I1130">
            <v>0.12</v>
          </cell>
          <cell r="J1130">
            <v>27859228</v>
          </cell>
          <cell r="K1130">
            <v>0.1</v>
          </cell>
          <cell r="L1130">
            <v>27240134</v>
          </cell>
        </row>
        <row r="1131">
          <cell r="C1131">
            <v>8010037060</v>
          </cell>
          <cell r="D1131" t="str">
            <v>给水用聚乙烯HDPE直管(1.0MPa)黑色 dn560 5.8M/根(IDN)</v>
          </cell>
          <cell r="E1131" t="str">
            <v>HDPE Water Supply Pipe (1.0Mpa) dn560 5.8M/pcs Black(IDN)</v>
          </cell>
          <cell r="F1131">
            <v>1</v>
          </cell>
          <cell r="G1131">
            <v>16472944</v>
          </cell>
          <cell r="H1131">
            <v>14840491</v>
          </cell>
          <cell r="I1131">
            <v>0.12</v>
          </cell>
          <cell r="J1131">
            <v>16864195</v>
          </cell>
          <cell r="K1131">
            <v>0.1</v>
          </cell>
          <cell r="L1131">
            <v>16489435</v>
          </cell>
        </row>
        <row r="1132">
          <cell r="C1132">
            <v>8010037061</v>
          </cell>
          <cell r="D1132" t="str">
            <v>给水用聚乙烯HDPE直管(1.0MPa)黑色 dn560 6M/根(IDN)</v>
          </cell>
          <cell r="E1132" t="str">
            <v>HDPE Water Supply Pipe (1.0Mpa) dn560 6M/pcs Black(IDN)</v>
          </cell>
          <cell r="F1132">
            <v>1</v>
          </cell>
          <cell r="G1132">
            <v>17040955</v>
          </cell>
          <cell r="H1132">
            <v>15352212</v>
          </cell>
          <cell r="I1132">
            <v>0.12</v>
          </cell>
          <cell r="J1132">
            <v>17445696</v>
          </cell>
          <cell r="K1132">
            <v>0.1</v>
          </cell>
          <cell r="L1132">
            <v>17058014</v>
          </cell>
        </row>
        <row r="1133">
          <cell r="C1133">
            <v>8010037062</v>
          </cell>
          <cell r="D1133" t="str">
            <v>给水用聚乙烯HDPE直管(1.0MPa)黑色 dn560 11.8M/根(IDN)</v>
          </cell>
          <cell r="E1133" t="str">
            <v>HDPE Water Supply Pipe (1.0Mpa) dn560 11.8M/pcs Black(IDN)</v>
          </cell>
          <cell r="F1133">
            <v>1</v>
          </cell>
          <cell r="G1133">
            <v>33513899</v>
          </cell>
          <cell r="H1133">
            <v>30192702</v>
          </cell>
          <cell r="I1133">
            <v>0.12</v>
          </cell>
          <cell r="J1133">
            <v>34309889</v>
          </cell>
          <cell r="K1133">
            <v>0.1</v>
          </cell>
          <cell r="L1133">
            <v>33547447</v>
          </cell>
        </row>
        <row r="1134">
          <cell r="C1134">
            <v>8010037063</v>
          </cell>
          <cell r="D1134" t="str">
            <v>给水用聚乙烯HDPE直管(1.0MPa)黑色 dn560 12M/根(IDN)</v>
          </cell>
          <cell r="E1134" t="str">
            <v>HDPE Water Supply Pipe (1.0Mpa) dn560 12M/pcs Black(IDN)</v>
          </cell>
          <cell r="F1134">
            <v>1</v>
          </cell>
          <cell r="G1134">
            <v>34081910</v>
          </cell>
          <cell r="H1134">
            <v>30704424</v>
          </cell>
          <cell r="I1134">
            <v>0.12</v>
          </cell>
          <cell r="J1134">
            <v>34891391</v>
          </cell>
          <cell r="K1134">
            <v>0.1</v>
          </cell>
          <cell r="L1134">
            <v>34116027</v>
          </cell>
        </row>
        <row r="1135">
          <cell r="C1135">
            <v>8010037084</v>
          </cell>
          <cell r="D1135" t="str">
            <v>给水用聚乙烯HDPE直管(1.0MPa)黑色 dn630 5.8M/根(IDN)</v>
          </cell>
          <cell r="E1135" t="str">
            <v>HDPE Water Supply Pipe (1.0Mpa) dn630 5.8M/pcs Black(IDN)</v>
          </cell>
          <cell r="F1135">
            <v>1</v>
          </cell>
          <cell r="G1135">
            <v>20863464</v>
          </cell>
          <cell r="H1135">
            <v>18795914</v>
          </cell>
          <cell r="I1135">
            <v>0.12</v>
          </cell>
          <cell r="J1135">
            <v>21358994</v>
          </cell>
          <cell r="K1135">
            <v>0.1</v>
          </cell>
          <cell r="L1135">
            <v>20884349</v>
          </cell>
        </row>
        <row r="1136">
          <cell r="C1136">
            <v>8010037085</v>
          </cell>
          <cell r="D1136" t="str">
            <v>给水用聚乙烯HDPE直管(1.0MPa)黑色 dn630 6M/根(IDN)</v>
          </cell>
          <cell r="E1136" t="str">
            <v>HDPE Water Supply Pipe (1.0Mpa) dn630 6M/pcs Black(IDN)</v>
          </cell>
          <cell r="F1136">
            <v>1</v>
          </cell>
          <cell r="G1136">
            <v>21582894</v>
          </cell>
          <cell r="H1136">
            <v>19444049</v>
          </cell>
          <cell r="I1136">
            <v>0.12</v>
          </cell>
          <cell r="J1136">
            <v>22095511</v>
          </cell>
          <cell r="K1136">
            <v>0.1</v>
          </cell>
          <cell r="L1136">
            <v>21604499</v>
          </cell>
        </row>
        <row r="1137">
          <cell r="C1137">
            <v>8010037086</v>
          </cell>
          <cell r="D1137" t="str">
            <v>给水用聚乙烯HDPE直管(1.0MPa)黑色 dn630 11.8M/根(IDN)</v>
          </cell>
          <cell r="E1137" t="str">
            <v>HDPE Water Supply Pipe (1.0Mpa) dn630 11.8M/pcs Black(IDN)</v>
          </cell>
          <cell r="F1137">
            <v>1</v>
          </cell>
          <cell r="G1137">
            <v>42446358</v>
          </cell>
          <cell r="H1137">
            <v>38239963</v>
          </cell>
          <cell r="I1137">
            <v>0.12</v>
          </cell>
          <cell r="J1137">
            <v>43454504</v>
          </cell>
          <cell r="K1137">
            <v>0.1</v>
          </cell>
          <cell r="L1137">
            <v>42488848</v>
          </cell>
        </row>
        <row r="1138">
          <cell r="C1138">
            <v>8010037087</v>
          </cell>
          <cell r="D1138" t="str">
            <v>给水用聚乙烯HDPE直管(1.0MPa)黑色 dn630 12M/根(IDN)</v>
          </cell>
          <cell r="E1138" t="str">
            <v>HDPE Water Supply Pipe (1.0Mpa) dn630 12M/pcs Black(IDN)</v>
          </cell>
          <cell r="F1138">
            <v>1</v>
          </cell>
          <cell r="G1138">
            <v>43165787</v>
          </cell>
          <cell r="H1138">
            <v>38888097</v>
          </cell>
          <cell r="I1138">
            <v>0.12</v>
          </cell>
          <cell r="J1138">
            <v>44191020</v>
          </cell>
          <cell r="K1138">
            <v>0.1</v>
          </cell>
          <cell r="L1138">
            <v>43208997</v>
          </cell>
        </row>
        <row r="1139">
          <cell r="C1139">
            <v>8010037132</v>
          </cell>
          <cell r="D1139" t="str">
            <v>给水用聚乙烯HDPE直管(1.0MPa)黑色 dn800 5.8M/根(IDN)</v>
          </cell>
          <cell r="E1139" t="str">
            <v>HDPE Water Supply Pipe (1.0Mpa) dn800 5.8M/pcs Black(IDN)</v>
          </cell>
          <cell r="F1139">
            <v>1</v>
          </cell>
          <cell r="G1139">
            <v>33620788</v>
          </cell>
          <cell r="H1139">
            <v>30288999</v>
          </cell>
          <cell r="I1139">
            <v>0.12</v>
          </cell>
          <cell r="J1139">
            <v>34419318</v>
          </cell>
          <cell r="K1139">
            <v>0.1</v>
          </cell>
          <cell r="L1139">
            <v>33654444</v>
          </cell>
        </row>
        <row r="1140">
          <cell r="C1140">
            <v>8010037133</v>
          </cell>
          <cell r="D1140" t="str">
            <v>给水用聚乙烯HDPE直管(1.0MPa)黑色 dn800 6M/根(IDN)</v>
          </cell>
          <cell r="E1140" t="str">
            <v>HDPE Water Supply Pipe (1.0Mpa) dn800 6M/pcs Black(IDN)</v>
          </cell>
          <cell r="F1140">
            <v>1</v>
          </cell>
          <cell r="G1140">
            <v>34780126</v>
          </cell>
          <cell r="H1140">
            <v>31333447</v>
          </cell>
          <cell r="I1140">
            <v>0.12</v>
          </cell>
          <cell r="J1140">
            <v>35606190</v>
          </cell>
          <cell r="K1140">
            <v>0.1</v>
          </cell>
          <cell r="L1140">
            <v>34814942</v>
          </cell>
        </row>
        <row r="1141">
          <cell r="C1141">
            <v>8010037134</v>
          </cell>
          <cell r="D1141" t="str">
            <v>给水用聚乙烯HDPE直管(1.0MPa)黑色 dn800 11.8M/根(IDN)</v>
          </cell>
          <cell r="E1141" t="str">
            <v>HDPE Water Supply Pipe (1.0Mpa) dn800 11.8M/pcs Black(IDN)</v>
          </cell>
          <cell r="F1141">
            <v>1</v>
          </cell>
          <cell r="G1141">
            <v>68400915</v>
          </cell>
          <cell r="H1141">
            <v>61622446</v>
          </cell>
          <cell r="I1141">
            <v>0.12</v>
          </cell>
          <cell r="J1141">
            <v>70025507</v>
          </cell>
          <cell r="K1141">
            <v>0.1</v>
          </cell>
          <cell r="L1141">
            <v>68469385</v>
          </cell>
        </row>
        <row r="1142">
          <cell r="C1142">
            <v>8010037135</v>
          </cell>
          <cell r="D1142" t="str">
            <v>给水用聚乙烯HDPE直管(1.0MPa)黑色 dn800 12M/根(IDN)</v>
          </cell>
          <cell r="E1142" t="str">
            <v>HDPE Water Supply Pipe (1.0Mpa) dn800 12M/pcs Black(IDN)</v>
          </cell>
          <cell r="F1142">
            <v>1</v>
          </cell>
          <cell r="G1142">
            <v>69560252</v>
          </cell>
          <cell r="H1142">
            <v>62666894</v>
          </cell>
          <cell r="I1142">
            <v>0.12</v>
          </cell>
          <cell r="J1142">
            <v>71212380</v>
          </cell>
          <cell r="K1142">
            <v>0.1</v>
          </cell>
          <cell r="L1142">
            <v>69629883</v>
          </cell>
        </row>
        <row r="1143">
          <cell r="C1143">
            <v>8010037171</v>
          </cell>
          <cell r="D1143" t="str">
            <v>给水用聚乙烯HDPE直管(1.0MPa)黑色 dn710 5.8M/根(IDN)</v>
          </cell>
          <cell r="E1143" t="str">
            <v>HDPE Water Supply Pipe (1.0Mpa) dn710 5.8M/pcs Black(IDN)</v>
          </cell>
          <cell r="F1143">
            <v>1</v>
          </cell>
          <cell r="G1143">
            <v>26514421</v>
          </cell>
          <cell r="H1143">
            <v>23886866</v>
          </cell>
          <cell r="I1143">
            <v>0.12</v>
          </cell>
          <cell r="J1143">
            <v>27144166</v>
          </cell>
          <cell r="K1143">
            <v>0.1</v>
          </cell>
          <cell r="L1143">
            <v>26540963</v>
          </cell>
        </row>
        <row r="1144">
          <cell r="C1144">
            <v>8010037172</v>
          </cell>
          <cell r="D1144" t="str">
            <v>给水用聚乙烯HDPE直管(1.0MPa)黑色 dn710 6M/根(IDN)</v>
          </cell>
          <cell r="E1144" t="str">
            <v>HDPE Water Supply Pipe (1.0Mpa) dn710 6M/pcs Black(IDN)</v>
          </cell>
          <cell r="F1144">
            <v>1</v>
          </cell>
          <cell r="G1144">
            <v>27428722</v>
          </cell>
          <cell r="H1144">
            <v>24710561</v>
          </cell>
          <cell r="I1144">
            <v>0.12</v>
          </cell>
          <cell r="J1144">
            <v>28080183</v>
          </cell>
          <cell r="K1144">
            <v>0.1</v>
          </cell>
          <cell r="L1144">
            <v>27456179</v>
          </cell>
        </row>
        <row r="1145">
          <cell r="C1145">
            <v>8010037173</v>
          </cell>
          <cell r="D1145" t="str">
            <v>给水用聚乙烯HDPE直管(1.0MPa)黑色 dn710 11.8M/根(IDN)</v>
          </cell>
          <cell r="E1145" t="str">
            <v>HDPE Water Supply Pipe (1.0Mpa) dn710 11.8M/pcs Black(IDN)</v>
          </cell>
          <cell r="F1145">
            <v>1</v>
          </cell>
          <cell r="G1145">
            <v>53943143</v>
          </cell>
          <cell r="H1145">
            <v>48597427</v>
          </cell>
          <cell r="I1145">
            <v>0.12</v>
          </cell>
          <cell r="J1145">
            <v>55224349</v>
          </cell>
          <cell r="K1145">
            <v>0.1</v>
          </cell>
          <cell r="L1145">
            <v>53997142</v>
          </cell>
        </row>
        <row r="1146">
          <cell r="C1146">
            <v>8010037174</v>
          </cell>
          <cell r="D1146" t="str">
            <v>给水用聚乙烯HDPE直管(1.0MPa)黑色 dn710 12M/根(IDN)</v>
          </cell>
          <cell r="E1146" t="str">
            <v>HDPE Water Supply Pipe (1.0Mpa) dn710 12M/pcs Black(IDN)</v>
          </cell>
          <cell r="F1146">
            <v>1</v>
          </cell>
          <cell r="G1146">
            <v>54857444</v>
          </cell>
          <cell r="H1146">
            <v>49421121</v>
          </cell>
          <cell r="I1146">
            <v>0.12</v>
          </cell>
          <cell r="J1146">
            <v>56160365</v>
          </cell>
          <cell r="K1146">
            <v>0.1</v>
          </cell>
          <cell r="L1146">
            <v>54912357</v>
          </cell>
        </row>
        <row r="1147">
          <cell r="C1147">
            <v>8010037105</v>
          </cell>
          <cell r="D1147" t="str">
            <v>给水用聚乙烯HDPE直管(1.0MPa)黑色 dn1000 5.8M/根(IDN)</v>
          </cell>
          <cell r="E1147" t="str">
            <v>HDPE Water Supply Pipe (1.0Mpa) dn1000 5.8M/pcs Black(IDN)</v>
          </cell>
          <cell r="F1147">
            <v>1</v>
          </cell>
          <cell r="G1147">
            <v>52561981</v>
          </cell>
          <cell r="H1147">
            <v>47353137</v>
          </cell>
          <cell r="I1147">
            <v>0.12</v>
          </cell>
          <cell r="J1147">
            <v>53810383</v>
          </cell>
          <cell r="K1147">
            <v>0.1</v>
          </cell>
          <cell r="L1147">
            <v>52614597</v>
          </cell>
        </row>
        <row r="1148">
          <cell r="C1148">
            <v>8010037106</v>
          </cell>
          <cell r="D1148" t="str">
            <v>给水用聚乙烯HDPE直管(1.0MPa)黑色 dn1000 6M/根(IDN)</v>
          </cell>
          <cell r="E1148" t="str">
            <v>HDPE Water Supply Pipe (1.0Mpa) dn1000 6M/pcs Black(IDN)</v>
          </cell>
          <cell r="F1148">
            <v>1</v>
          </cell>
          <cell r="G1148">
            <v>54374442</v>
          </cell>
          <cell r="H1148">
            <v>48985984</v>
          </cell>
          <cell r="I1148">
            <v>0.12</v>
          </cell>
          <cell r="J1148">
            <v>55665891</v>
          </cell>
          <cell r="K1148">
            <v>0.1</v>
          </cell>
          <cell r="L1148">
            <v>54428872</v>
          </cell>
        </row>
        <row r="1149">
          <cell r="C1149">
            <v>8010037107</v>
          </cell>
          <cell r="D1149" t="str">
            <v>给水用聚乙烯HDPE直管(1.0MPa)黑色 dn1000 11.8M/根(IDN)</v>
          </cell>
          <cell r="E1149" t="str">
            <v>HDPE Water Supply Pipe (1.0Mpa) dn1000 11.8M/pcs Black(IDN)</v>
          </cell>
          <cell r="F1149">
            <v>1</v>
          </cell>
          <cell r="G1149">
            <v>106936424</v>
          </cell>
          <cell r="H1149">
            <v>96339121</v>
          </cell>
          <cell r="I1149">
            <v>0.12</v>
          </cell>
          <cell r="J1149">
            <v>109476274</v>
          </cell>
          <cell r="K1149">
            <v>0.1</v>
          </cell>
          <cell r="L1149">
            <v>107043468</v>
          </cell>
        </row>
        <row r="1150">
          <cell r="C1150">
            <v>8010037108</v>
          </cell>
          <cell r="D1150" t="str">
            <v>给水用聚乙烯HDPE直管(1.0MPa)黑色 dn1000 12M/根(IDN)</v>
          </cell>
          <cell r="E1150" t="str">
            <v>HDPE Water Supply Pipe (1.0Mpa) dn1000 12M/pcs Black(IDN)</v>
          </cell>
          <cell r="F1150">
            <v>1</v>
          </cell>
          <cell r="G1150">
            <v>108748885</v>
          </cell>
          <cell r="H1150">
            <v>97971969</v>
          </cell>
          <cell r="I1150">
            <v>0.12</v>
          </cell>
          <cell r="J1150">
            <v>111331783</v>
          </cell>
          <cell r="K1150">
            <v>0.1</v>
          </cell>
          <cell r="L1150">
            <v>108857744</v>
          </cell>
        </row>
        <row r="1151">
          <cell r="C1151">
            <v>8010037156</v>
          </cell>
          <cell r="D1151" t="str">
            <v>给水用聚乙烯HDPE直管(1.0MPa)黑色 dn900 5.8M/根(IDN)</v>
          </cell>
          <cell r="E1151" t="str">
            <v>HDPE Water Supply Pipe (1.0Mpa) dn900 5.8M/pcs Black(IDN)</v>
          </cell>
          <cell r="F1151">
            <v>1</v>
          </cell>
          <cell r="G1151">
            <v>42529369</v>
          </cell>
          <cell r="H1151">
            <v>38314747</v>
          </cell>
          <cell r="I1151">
            <v>0.12</v>
          </cell>
          <cell r="J1151">
            <v>43539486</v>
          </cell>
          <cell r="K1151">
            <v>0.1</v>
          </cell>
          <cell r="L1151">
            <v>42571942</v>
          </cell>
        </row>
        <row r="1152">
          <cell r="C1152">
            <v>8010037157</v>
          </cell>
          <cell r="D1152" t="str">
            <v>给水用聚乙烯HDPE直管(1.0MPa)黑色 dn900 6M/根(IDN)</v>
          </cell>
          <cell r="E1152" t="str">
            <v>HDPE Water Supply Pipe (1.0Mpa) dn900 6M/pcs Black(IDN)</v>
          </cell>
          <cell r="F1152">
            <v>1</v>
          </cell>
          <cell r="G1152">
            <v>43995899</v>
          </cell>
          <cell r="H1152">
            <v>39635946</v>
          </cell>
          <cell r="I1152">
            <v>0.12</v>
          </cell>
          <cell r="J1152">
            <v>45040848</v>
          </cell>
          <cell r="K1152">
            <v>0.1</v>
          </cell>
          <cell r="L1152">
            <v>44039940</v>
          </cell>
        </row>
        <row r="1153">
          <cell r="C1153">
            <v>8010037158</v>
          </cell>
          <cell r="D1153" t="str">
            <v>给水用聚乙烯HDPE直管(1.0MPa)黑色 dn900 11.8M/根(IDN)</v>
          </cell>
          <cell r="E1153" t="str">
            <v>HDPE Water Supply Pipe (1.0Mpa) dn900 11.8M/pcs Black(IDN)</v>
          </cell>
          <cell r="F1153">
            <v>1</v>
          </cell>
          <cell r="G1153">
            <v>86525268</v>
          </cell>
          <cell r="H1153">
            <v>77950692</v>
          </cell>
          <cell r="I1153">
            <v>0.12</v>
          </cell>
          <cell r="J1153">
            <v>88580332</v>
          </cell>
          <cell r="K1153">
            <v>0.1</v>
          </cell>
          <cell r="L1153">
            <v>86611880</v>
          </cell>
        </row>
        <row r="1154">
          <cell r="C1154">
            <v>8010037159</v>
          </cell>
          <cell r="D1154" t="str">
            <v>给水用聚乙烯HDPE直管(1.0MPa)黑色 dn900 12M/根(IDN)</v>
          </cell>
          <cell r="E1154" t="str">
            <v>HDPE Water Supply Pipe (1.0Mpa) dn900 12M/pcs Black(IDN)</v>
          </cell>
          <cell r="F1154">
            <v>1</v>
          </cell>
          <cell r="G1154">
            <v>87991798</v>
          </cell>
          <cell r="H1154">
            <v>79271891</v>
          </cell>
          <cell r="I1154">
            <v>0.12</v>
          </cell>
          <cell r="J1154">
            <v>90081695</v>
          </cell>
          <cell r="K1154">
            <v>0.1</v>
          </cell>
          <cell r="L1154">
            <v>88079879</v>
          </cell>
        </row>
        <row r="1155">
          <cell r="C1155">
            <v>8010036428</v>
          </cell>
          <cell r="D1155" t="str">
            <v>给水用聚乙烯HDPE管盘管(1.6MPa)黑色 dn20 100M(IDN)</v>
          </cell>
          <cell r="E1155" t="str">
            <v>Pipa Coil HDPE Polyethylene untuk Suplai Air (1.6 MPa) Warna Hitam dn20 100M(IDN)</v>
          </cell>
          <cell r="F1155">
            <v>1</v>
          </cell>
          <cell r="G1155">
            <v>5636</v>
          </cell>
          <cell r="H1155">
            <v>5078</v>
          </cell>
          <cell r="I1155">
            <v>0.12</v>
          </cell>
          <cell r="J1155">
            <v>5771</v>
          </cell>
          <cell r="K1155">
            <v>0.1</v>
          </cell>
          <cell r="L1155">
            <v>5643</v>
          </cell>
        </row>
        <row r="1156">
          <cell r="C1156">
            <v>8010036429</v>
          </cell>
          <cell r="D1156" t="str">
            <v>给水用聚乙烯HDPE管盘管(1.6MPa)黑色 dn20 50M(IDN)</v>
          </cell>
          <cell r="E1156" t="str">
            <v>Pipa Coil HDPE Polyethylene untuk Suplai Air (1.6 MPa) Warna Hitam dn20 50M(IDN)</v>
          </cell>
          <cell r="F1156">
            <v>1</v>
          </cell>
          <cell r="G1156">
            <v>5636</v>
          </cell>
          <cell r="H1156">
            <v>5078</v>
          </cell>
          <cell r="I1156">
            <v>0.12</v>
          </cell>
          <cell r="J1156">
            <v>5771</v>
          </cell>
          <cell r="K1156">
            <v>0.1</v>
          </cell>
          <cell r="L1156">
            <v>5643</v>
          </cell>
        </row>
        <row r="1157">
          <cell r="C1157">
            <v>8010036436</v>
          </cell>
          <cell r="D1157" t="str">
            <v>给水用聚乙烯HDPE管盘管(1.6MPa)黑色 dn25 100M(IDN)</v>
          </cell>
          <cell r="E1157" t="str">
            <v>Pipa Coil HDPE Polyethylene untuk Suplai Air (1.6 MPa MPa) Warna Hitam dn25 100M(IDN)</v>
          </cell>
          <cell r="F1157">
            <v>1</v>
          </cell>
          <cell r="G1157">
            <v>8711</v>
          </cell>
          <cell r="H1157">
            <v>7848</v>
          </cell>
          <cell r="I1157">
            <v>0.12</v>
          </cell>
          <cell r="J1157">
            <v>8919</v>
          </cell>
          <cell r="K1157">
            <v>0.1</v>
          </cell>
          <cell r="L1157">
            <v>8720</v>
          </cell>
        </row>
        <row r="1158">
          <cell r="C1158">
            <v>8010036437</v>
          </cell>
          <cell r="D1158" t="str">
            <v>给水用聚乙烯HDPE管盘管(1.6MPa)黑色 dn25 50M(IDN)</v>
          </cell>
          <cell r="E1158" t="str">
            <v>Pipa Coil HDPE Polyethylene untuk Suplai Air (1.6 MPa  MPa) Warna Hitam dn25 50M(IDN)</v>
          </cell>
          <cell r="F1158">
            <v>1</v>
          </cell>
          <cell r="G1158">
            <v>8711</v>
          </cell>
          <cell r="H1158">
            <v>7848</v>
          </cell>
          <cell r="I1158">
            <v>0.12</v>
          </cell>
          <cell r="J1158">
            <v>8919</v>
          </cell>
          <cell r="K1158">
            <v>0.1</v>
          </cell>
          <cell r="L1158">
            <v>8720</v>
          </cell>
        </row>
        <row r="1159">
          <cell r="C1159">
            <v>8010036446</v>
          </cell>
          <cell r="D1159" t="str">
            <v>给水用聚乙烯HDPE管盘管(1.6MPa)黑色 dn32 100M(IDN)</v>
          </cell>
          <cell r="E1159" t="str">
            <v>Pipa Coil HDPE Polyethylene untuk Suplai Air (1.6 MPa) Warna Hitam dn32 100M(IDN)</v>
          </cell>
          <cell r="F1159">
            <v>1</v>
          </cell>
          <cell r="G1159">
            <v>14296</v>
          </cell>
          <cell r="H1159">
            <v>12880</v>
          </cell>
          <cell r="I1159">
            <v>0.12</v>
          </cell>
          <cell r="J1159">
            <v>14637</v>
          </cell>
          <cell r="K1159">
            <v>0.1</v>
          </cell>
          <cell r="L1159">
            <v>14312</v>
          </cell>
        </row>
        <row r="1160">
          <cell r="C1160">
            <v>8010036447</v>
          </cell>
          <cell r="D1160" t="str">
            <v>给水用聚乙烯HDPE管盘管(1.6MPa)黑色 dn32 50M(IDN)</v>
          </cell>
          <cell r="E1160" t="str">
            <v>Pipa Coil HDPE Polyethylene untuk Suplai Air (1.6 MPa) Warna Hitam dn32 50M(IDN)</v>
          </cell>
          <cell r="F1160">
            <v>1</v>
          </cell>
          <cell r="G1160">
            <v>14296</v>
          </cell>
          <cell r="H1160">
            <v>12880</v>
          </cell>
          <cell r="I1160">
            <v>0.12</v>
          </cell>
          <cell r="J1160">
            <v>14637</v>
          </cell>
          <cell r="K1160">
            <v>0.1</v>
          </cell>
          <cell r="L1160">
            <v>14312</v>
          </cell>
        </row>
        <row r="1161">
          <cell r="C1161">
            <v>8010036456</v>
          </cell>
          <cell r="D1161" t="str">
            <v>给水用聚乙烯HDPE管盘管(1.6MPa)黑色 dn40 100M(IDN)</v>
          </cell>
          <cell r="E1161" t="str">
            <v>Pipa Coil HDPE Polyethylene untuk Suplai Air (1.6 MPa) Warna Hitam dn40 100M(IDN)</v>
          </cell>
          <cell r="F1161">
            <v>1</v>
          </cell>
          <cell r="G1161">
            <v>22187</v>
          </cell>
          <cell r="H1161">
            <v>19989</v>
          </cell>
          <cell r="I1161">
            <v>0.12</v>
          </cell>
          <cell r="J1161">
            <v>22715</v>
          </cell>
          <cell r="K1161">
            <v>0.1</v>
          </cell>
          <cell r="L1161">
            <v>22210</v>
          </cell>
        </row>
        <row r="1162">
          <cell r="C1162">
            <v>8010036457</v>
          </cell>
          <cell r="D1162" t="str">
            <v>给水用聚乙烯HDPE管盘管(1.6MPa)黑色 dn40 50M(IDN)</v>
          </cell>
          <cell r="E1162" t="str">
            <v>Pipa Coil HDPE Polyethylene untuk Suplai Air (1.6 MPa) Warna Hitam dn40 50M(IDN)</v>
          </cell>
          <cell r="F1162">
            <v>1</v>
          </cell>
          <cell r="G1162">
            <v>22187</v>
          </cell>
          <cell r="H1162">
            <v>19989</v>
          </cell>
          <cell r="I1162">
            <v>0.12</v>
          </cell>
          <cell r="J1162">
            <v>22715</v>
          </cell>
          <cell r="K1162">
            <v>0.1</v>
          </cell>
          <cell r="L1162">
            <v>22210</v>
          </cell>
        </row>
        <row r="1163">
          <cell r="C1163">
            <v>8010036466</v>
          </cell>
          <cell r="D1163" t="str">
            <v>给水用聚乙烯HDPE管盘管(1.6MPa)黑色 dn50 100M(IDN)</v>
          </cell>
          <cell r="E1163" t="str">
            <v>Pipa Coil HDPE Polyethylene untuk Suplai Air (1.6 MPa) Warna Hitam dn50 100M(IDN)</v>
          </cell>
          <cell r="F1163">
            <v>1</v>
          </cell>
          <cell r="G1163">
            <v>34229</v>
          </cell>
          <cell r="H1163">
            <v>30837</v>
          </cell>
          <cell r="I1163">
            <v>0.12</v>
          </cell>
          <cell r="J1163">
            <v>35043</v>
          </cell>
          <cell r="K1163">
            <v>0.1</v>
          </cell>
          <cell r="L1163">
            <v>34264</v>
          </cell>
        </row>
        <row r="1164">
          <cell r="C1164">
            <v>8010036467</v>
          </cell>
          <cell r="D1164" t="str">
            <v>给水用聚乙烯HDPE管盘管(1.6MPa)黑色 dn50 50M(IDN)</v>
          </cell>
          <cell r="E1164" t="str">
            <v>Pipa Coil HDPE Polyethylene untuk Suplai Air (1.6 MPa) Warna Hitam dn50 50M(IDN)</v>
          </cell>
          <cell r="F1164">
            <v>1</v>
          </cell>
          <cell r="G1164">
            <v>34229</v>
          </cell>
          <cell r="H1164">
            <v>30837</v>
          </cell>
          <cell r="I1164">
            <v>0.12</v>
          </cell>
          <cell r="J1164">
            <v>35043</v>
          </cell>
          <cell r="K1164">
            <v>0.1</v>
          </cell>
          <cell r="L1164">
            <v>34264</v>
          </cell>
        </row>
        <row r="1165">
          <cell r="C1165">
            <v>8010036476</v>
          </cell>
          <cell r="D1165" t="str">
            <v>给水用聚乙烯HDPE管盘管(1.6MPa)黑色 dn63 100M(IDN)</v>
          </cell>
          <cell r="E1165" t="str">
            <v>Pipa Coil HDPE Polyethylene untuk Suplai Air (1.6 MPa) Warna Hitam dn63 100M(IDN)</v>
          </cell>
          <cell r="F1165">
            <v>1</v>
          </cell>
          <cell r="G1165">
            <v>54111</v>
          </cell>
          <cell r="H1165">
            <v>48749</v>
          </cell>
          <cell r="I1165">
            <v>0.12</v>
          </cell>
          <cell r="J1165">
            <v>55397</v>
          </cell>
          <cell r="K1165">
            <v>0.1</v>
          </cell>
          <cell r="L1165">
            <v>54166</v>
          </cell>
        </row>
        <row r="1166">
          <cell r="C1166">
            <v>8010036477</v>
          </cell>
          <cell r="D1166" t="str">
            <v>给水用聚乙烯HDPE管盘管(1.6MPa)黑色 dn63 50M(IDN)</v>
          </cell>
          <cell r="E1166" t="str">
            <v>Pipa Coil HDPE Polyethylene untuk Suplai Air (1.6 MPa) Warna Hitam dn63 50M(IDN)</v>
          </cell>
          <cell r="F1166">
            <v>1</v>
          </cell>
          <cell r="G1166">
            <v>54111</v>
          </cell>
          <cell r="H1166">
            <v>48749</v>
          </cell>
          <cell r="I1166">
            <v>0.12</v>
          </cell>
          <cell r="J1166">
            <v>55397</v>
          </cell>
          <cell r="K1166">
            <v>0.1</v>
          </cell>
          <cell r="L1166">
            <v>54166</v>
          </cell>
        </row>
        <row r="1167">
          <cell r="C1167">
            <v>8010036486</v>
          </cell>
          <cell r="D1167" t="str">
            <v>给水用聚乙烯HDPE管盘管(1.6MPa)黑色 dn75 50M(IDN)</v>
          </cell>
          <cell r="E1167" t="str">
            <v>Pipa Coil HDPE Polyethylene untuk Suplai Air (1.6 MPa) Warna Hitam dn75 50M(IDN)</v>
          </cell>
          <cell r="F1167">
            <v>1</v>
          </cell>
          <cell r="G1167">
            <v>75581</v>
          </cell>
          <cell r="H1167">
            <v>68091</v>
          </cell>
          <cell r="I1167">
            <v>0.12</v>
          </cell>
          <cell r="J1167">
            <v>77377</v>
          </cell>
          <cell r="K1167">
            <v>0.1</v>
          </cell>
          <cell r="L1167">
            <v>75657</v>
          </cell>
        </row>
        <row r="1168">
          <cell r="C1168">
            <v>8010036487</v>
          </cell>
          <cell r="D1168" t="str">
            <v>给水用聚乙烯HDPE管盘管(1.6MPa)黑色 dn75 100M(IDN)</v>
          </cell>
          <cell r="E1168" t="str">
            <v>Pipa Coil HDPE Polyethylene untuk Suplai Air (1.6 MPa) Warna Hitam dn75 100M(IDN)</v>
          </cell>
          <cell r="F1168">
            <v>1</v>
          </cell>
          <cell r="G1168">
            <v>75581</v>
          </cell>
          <cell r="H1168">
            <v>68091</v>
          </cell>
          <cell r="I1168">
            <v>0.12</v>
          </cell>
          <cell r="J1168">
            <v>77377</v>
          </cell>
          <cell r="K1168">
            <v>0.1</v>
          </cell>
          <cell r="L1168">
            <v>75657</v>
          </cell>
        </row>
        <row r="1169">
          <cell r="C1169">
            <v>8010036496</v>
          </cell>
          <cell r="D1169" t="str">
            <v>给水用聚乙烯HDPE管盘管(1.6MPa)黑色 dn90 100M(IDN)</v>
          </cell>
          <cell r="E1169" t="str">
            <v>Pipa Coil HDPE Polyethylene untuk Suplai Air (1.6 MPa) Warna Hitam dn90 100M(IDN)</v>
          </cell>
          <cell r="F1169">
            <v>1</v>
          </cell>
          <cell r="G1169">
            <v>109503</v>
          </cell>
          <cell r="H1169">
            <v>98652</v>
          </cell>
          <cell r="I1169">
            <v>0.12</v>
          </cell>
          <cell r="J1169">
            <v>112105</v>
          </cell>
          <cell r="K1169">
            <v>0.1</v>
          </cell>
          <cell r="L1169">
            <v>109614</v>
          </cell>
        </row>
        <row r="1170">
          <cell r="C1170">
            <v>8010036497</v>
          </cell>
          <cell r="D1170" t="str">
            <v>给水用聚乙烯HDPE管盘管(1.6MPa)黑色 dn90 50M(IDN)</v>
          </cell>
          <cell r="E1170" t="str">
            <v>Pipa Coil HDPE Polyethylene untuk Suplai Air (1.6 MPa) Warna Hitam dn90 50M(IDN)</v>
          </cell>
          <cell r="F1170">
            <v>1</v>
          </cell>
          <cell r="G1170">
            <v>109503</v>
          </cell>
          <cell r="H1170">
            <v>98652</v>
          </cell>
          <cell r="I1170">
            <v>0.12</v>
          </cell>
          <cell r="J1170">
            <v>112105</v>
          </cell>
          <cell r="K1170">
            <v>0.1</v>
          </cell>
          <cell r="L1170">
            <v>109614</v>
          </cell>
        </row>
        <row r="1171">
          <cell r="C1171">
            <v>8010036506</v>
          </cell>
          <cell r="D1171" t="str">
            <v>给水用聚乙烯HDPE管盘管(1.6MPa)黑色 dn110 100M(IDN)</v>
          </cell>
          <cell r="E1171" t="str">
            <v>Pipa Coil HDPE Polyethylene untuk Suplai Air (1.6 MPa) Warna Hitam dn110 100M(IDN)</v>
          </cell>
          <cell r="F1171">
            <v>1</v>
          </cell>
          <cell r="G1171">
            <v>162025</v>
          </cell>
          <cell r="H1171">
            <v>145969</v>
          </cell>
          <cell r="I1171">
            <v>0.12</v>
          </cell>
          <cell r="J1171">
            <v>165874</v>
          </cell>
          <cell r="K1171">
            <v>0.1</v>
          </cell>
          <cell r="L1171">
            <v>162188</v>
          </cell>
        </row>
        <row r="1172">
          <cell r="C1172">
            <v>8010036507</v>
          </cell>
          <cell r="D1172" t="str">
            <v>给水用聚乙烯HDPE管盘管(1.6MPa)黑色 dn110 50M(IDN)</v>
          </cell>
          <cell r="E1172" t="str">
            <v>Pipa Coil HDPE Polyethylene untuk Suplai Air (1.6 MPa) Warna Hitam dn110 50M(IDN)</v>
          </cell>
          <cell r="F1172">
            <v>1</v>
          </cell>
          <cell r="G1172">
            <v>162025</v>
          </cell>
          <cell r="H1172">
            <v>145969</v>
          </cell>
          <cell r="I1172">
            <v>0.12</v>
          </cell>
          <cell r="J1172">
            <v>165874</v>
          </cell>
          <cell r="K1172">
            <v>0.1</v>
          </cell>
          <cell r="L1172">
            <v>162188</v>
          </cell>
        </row>
        <row r="1173">
          <cell r="C1173">
            <v>8010036512</v>
          </cell>
          <cell r="D1173" t="str">
            <v>给水用聚乙烯HDPE直管(1.6MPa)黑色 dn20 5.8M(IDN)</v>
          </cell>
          <cell r="E1173" t="str">
            <v>Pipa HDPE Polyethylene untuk Suplai Air (1.6 MPa) Warna Hitam dn20 5.8M(IDN)</v>
          </cell>
          <cell r="F1173">
            <v>1</v>
          </cell>
          <cell r="G1173">
            <v>32692</v>
          </cell>
          <cell r="H1173">
            <v>29453</v>
          </cell>
          <cell r="I1173">
            <v>0.12</v>
          </cell>
          <cell r="J1173">
            <v>33470</v>
          </cell>
          <cell r="K1173">
            <v>0.1</v>
          </cell>
          <cell r="L1173">
            <v>32726</v>
          </cell>
        </row>
        <row r="1174">
          <cell r="C1174">
            <v>8010036513</v>
          </cell>
          <cell r="D1174" t="str">
            <v>给水用聚乙烯HDPE直管(1.6MPa)黑色 dn20 6M(IDN)</v>
          </cell>
          <cell r="E1174" t="str">
            <v>Pipa HDPE Polyethylene untuk Suplai Air (1.6 MPa) Warna Hitam dn20 6M(IDN)</v>
          </cell>
          <cell r="F1174">
            <v>1</v>
          </cell>
          <cell r="G1174">
            <v>33819</v>
          </cell>
          <cell r="H1174">
            <v>30468</v>
          </cell>
          <cell r="I1174">
            <v>0.12</v>
          </cell>
          <cell r="J1174">
            <v>34623</v>
          </cell>
          <cell r="K1174">
            <v>0.1</v>
          </cell>
          <cell r="L1174">
            <v>33854</v>
          </cell>
        </row>
        <row r="1175">
          <cell r="C1175">
            <v>8010036514</v>
          </cell>
          <cell r="D1175" t="str">
            <v>给水用聚乙烯HDPE直管(1.6MPa)黑色 dn20 11.8M(IDN)</v>
          </cell>
          <cell r="E1175" t="str">
            <v>Pipa HDPE Polyethylene untuk Suplai Air (1.6 MPa) Warna Hitam dn20 11.8M(IDN)</v>
          </cell>
          <cell r="F1175">
            <v>1</v>
          </cell>
          <cell r="G1175">
            <v>66511</v>
          </cell>
          <cell r="H1175">
            <v>59920</v>
          </cell>
          <cell r="I1175">
            <v>0.12</v>
          </cell>
          <cell r="J1175">
            <v>68091</v>
          </cell>
          <cell r="K1175">
            <v>0.1</v>
          </cell>
          <cell r="L1175">
            <v>66578</v>
          </cell>
        </row>
        <row r="1176">
          <cell r="C1176">
            <v>8010036515</v>
          </cell>
          <cell r="D1176" t="str">
            <v>给水用聚乙烯HDPE直管(1.6MPa)黑色 dn20 12M(IDN)</v>
          </cell>
          <cell r="E1176" t="str">
            <v>Pipa HDPE Polyethylene untuk Suplai Air (1.6 MPa) Warna Hitam dn20 12M(IDN)</v>
          </cell>
          <cell r="F1176">
            <v>1</v>
          </cell>
          <cell r="G1176">
            <v>67638</v>
          </cell>
          <cell r="H1176">
            <v>60936</v>
          </cell>
          <cell r="I1176">
            <v>0.12</v>
          </cell>
          <cell r="J1176">
            <v>69246</v>
          </cell>
          <cell r="K1176">
            <v>0.1</v>
          </cell>
          <cell r="L1176">
            <v>67707</v>
          </cell>
        </row>
        <row r="1177">
          <cell r="C1177">
            <v>8010036528</v>
          </cell>
          <cell r="D1177" t="str">
            <v>给水用聚乙烯HDPE直管(1.6MPa)黑色 dn25 5.8M(IDN)</v>
          </cell>
          <cell r="E1177" t="str">
            <v>Pipa HDPE Polyethylene untuk Suplai Air (1.6 MPa) Warna Hitam dn25 5.8M(IDN)</v>
          </cell>
          <cell r="F1177">
            <v>1</v>
          </cell>
          <cell r="G1177">
            <v>50524</v>
          </cell>
          <cell r="H1177">
            <v>45518</v>
          </cell>
          <cell r="I1177">
            <v>0.12</v>
          </cell>
          <cell r="J1177">
            <v>51725</v>
          </cell>
          <cell r="K1177">
            <v>0.1</v>
          </cell>
          <cell r="L1177">
            <v>50576</v>
          </cell>
        </row>
        <row r="1178">
          <cell r="C1178">
            <v>8010036529</v>
          </cell>
          <cell r="D1178" t="str">
            <v>给水用聚乙烯HDPE直管(1.6MPa)黑色 dn25 6M(IDN)</v>
          </cell>
          <cell r="E1178" t="str">
            <v>Pipa HDPE Polyethylene untuk Suplai Air (1.6 MPa) Warna Hitam dn25 6M(IDN)</v>
          </cell>
          <cell r="F1178">
            <v>1</v>
          </cell>
          <cell r="G1178">
            <v>52266</v>
          </cell>
          <cell r="H1178">
            <v>47087</v>
          </cell>
          <cell r="I1178">
            <v>0.12</v>
          </cell>
          <cell r="J1178">
            <v>53508</v>
          </cell>
          <cell r="K1178">
            <v>0.1</v>
          </cell>
          <cell r="L1178">
            <v>52319</v>
          </cell>
        </row>
        <row r="1179">
          <cell r="C1179">
            <v>8010036530</v>
          </cell>
          <cell r="D1179" t="str">
            <v>给水用聚乙烯HDPE直管(1.6MPa)黑色 DN25 11.8M(IDN)</v>
          </cell>
          <cell r="E1179" t="str">
            <v>Pipa HDPE Polyethylene untuk Suplai Air (1.6 MPa) Warna Hitam dn25 11.8M(IDN)</v>
          </cell>
          <cell r="F1179">
            <v>1</v>
          </cell>
          <cell r="G1179">
            <v>102790</v>
          </cell>
          <cell r="H1179">
            <v>92604</v>
          </cell>
          <cell r="I1179">
            <v>0.12</v>
          </cell>
          <cell r="J1179">
            <v>105232</v>
          </cell>
          <cell r="K1179">
            <v>0.1</v>
          </cell>
          <cell r="L1179">
            <v>102894</v>
          </cell>
        </row>
        <row r="1180">
          <cell r="C1180">
            <v>8010036531</v>
          </cell>
          <cell r="D1180" t="str">
            <v>给水用聚乙烯HDPE直管(1.6MPa)黑色 dn25 12M(IDN)</v>
          </cell>
          <cell r="E1180" t="str">
            <v>Pipa HDPE Polyethylene untuk Suplai Air (1.6 MPa) Warna Hitam dn25 12M(IDN)</v>
          </cell>
          <cell r="F1180">
            <v>1</v>
          </cell>
          <cell r="G1180">
            <v>104532</v>
          </cell>
          <cell r="H1180">
            <v>94173</v>
          </cell>
          <cell r="I1180">
            <v>0.12</v>
          </cell>
          <cell r="J1180">
            <v>107015</v>
          </cell>
          <cell r="K1180">
            <v>0.1</v>
          </cell>
          <cell r="L1180">
            <v>104637</v>
          </cell>
        </row>
        <row r="1181">
          <cell r="C1181">
            <v>8010036548</v>
          </cell>
          <cell r="D1181" t="str">
            <v>给水用聚乙烯HDPE直管(1.6MPa)黑色 dn32 5.8M(IDN)</v>
          </cell>
          <cell r="E1181" t="str">
            <v>Pipa HDPE Polyethylene untuk Suplai Air (1.6 MPa) Warna Hitam dn32 5.8M(IDN)</v>
          </cell>
          <cell r="F1181">
            <v>1</v>
          </cell>
          <cell r="G1181">
            <v>82908</v>
          </cell>
          <cell r="H1181">
            <v>74692</v>
          </cell>
          <cell r="I1181">
            <v>0.12</v>
          </cell>
          <cell r="J1181">
            <v>84878</v>
          </cell>
          <cell r="K1181">
            <v>0.1</v>
          </cell>
          <cell r="L1181">
            <v>82992</v>
          </cell>
        </row>
        <row r="1182">
          <cell r="C1182">
            <v>8010036549</v>
          </cell>
          <cell r="D1182" t="str">
            <v>给水用聚乙烯HDPE直管(1.6MPa)黑色 dn32 6M(IDN)</v>
          </cell>
          <cell r="E1182" t="str">
            <v>Pipa HDPE Polyethylene untuk Suplai Air (1.6 MPa) Warna Hitam dn32 6M(IDN)</v>
          </cell>
          <cell r="F1182">
            <v>1</v>
          </cell>
          <cell r="G1182">
            <v>85778</v>
          </cell>
          <cell r="H1182">
            <v>77278</v>
          </cell>
          <cell r="I1182">
            <v>0.12</v>
          </cell>
          <cell r="J1182">
            <v>87816</v>
          </cell>
          <cell r="K1182">
            <v>0.1</v>
          </cell>
          <cell r="L1182">
            <v>85865</v>
          </cell>
        </row>
        <row r="1183">
          <cell r="C1183">
            <v>8010036550</v>
          </cell>
          <cell r="D1183" t="str">
            <v>给水用聚乙烯HDPE直管(1.6MPa)黑色 dn32 11.8M(IDN)</v>
          </cell>
          <cell r="E1183" t="str">
            <v>Pipa HDPE Polyethylene untuk Suplai Air (1.6 MPa) Warna Hitam dn32 11.8M(IDN)</v>
          </cell>
          <cell r="F1183">
            <v>1</v>
          </cell>
          <cell r="G1183">
            <v>168687</v>
          </cell>
          <cell r="H1183">
            <v>151971</v>
          </cell>
          <cell r="I1183">
            <v>0.12</v>
          </cell>
          <cell r="J1183">
            <v>172695</v>
          </cell>
          <cell r="K1183">
            <v>0.1</v>
          </cell>
          <cell r="L1183">
            <v>168857</v>
          </cell>
        </row>
        <row r="1184">
          <cell r="C1184">
            <v>8010036551</v>
          </cell>
          <cell r="D1184" t="str">
            <v>给水用聚乙烯HDPE直管(1.6MPa)黑色 dn32 12M(IDN)</v>
          </cell>
          <cell r="E1184" t="str">
            <v>Pipa HDPE Polyethylene untuk Suplai Air (1.6 MPa) Warna Hitam dn32 12M(IDN)</v>
          </cell>
          <cell r="F1184">
            <v>1</v>
          </cell>
          <cell r="G1184">
            <v>171556</v>
          </cell>
          <cell r="H1184">
            <v>154555</v>
          </cell>
          <cell r="I1184">
            <v>0.12</v>
          </cell>
          <cell r="J1184">
            <v>175631</v>
          </cell>
          <cell r="K1184">
            <v>0.1</v>
          </cell>
          <cell r="L1184">
            <v>171728</v>
          </cell>
        </row>
        <row r="1185">
          <cell r="C1185">
            <v>8010036568</v>
          </cell>
          <cell r="D1185" t="str">
            <v>给水用聚乙烯HDPE直管(1.6MPa)黑色 dn40 5.8M(IDN)</v>
          </cell>
          <cell r="E1185" t="str">
            <v>Pipa HDPE Polyethylene untuk Suplai Air (1.6 MPa) Warna Hitam dn40 5.8M(IDN)</v>
          </cell>
          <cell r="F1185">
            <v>1</v>
          </cell>
          <cell r="G1185">
            <v>128667</v>
          </cell>
          <cell r="H1185">
            <v>115917</v>
          </cell>
          <cell r="I1185">
            <v>0.12</v>
          </cell>
          <cell r="J1185">
            <v>131724</v>
          </cell>
          <cell r="K1185">
            <v>0.1</v>
          </cell>
          <cell r="L1185">
            <v>128797</v>
          </cell>
        </row>
        <row r="1186">
          <cell r="C1186">
            <v>8010036569</v>
          </cell>
          <cell r="D1186" t="str">
            <v>给水用聚乙烯HDPE直管(1.6MPa)黑色 dn40 6M(IDN)</v>
          </cell>
          <cell r="E1186" t="str">
            <v>Pipa HDPE Polyethylene untuk Suplai Air (1.6 MPa) Warna Hitam dn40 6M(IDN)</v>
          </cell>
          <cell r="F1186">
            <v>1</v>
          </cell>
          <cell r="G1186">
            <v>133125</v>
          </cell>
          <cell r="H1186">
            <v>119933</v>
          </cell>
          <cell r="I1186">
            <v>0.12</v>
          </cell>
          <cell r="J1186">
            <v>136288</v>
          </cell>
          <cell r="K1186">
            <v>0.1</v>
          </cell>
          <cell r="L1186">
            <v>133259</v>
          </cell>
        </row>
        <row r="1187">
          <cell r="C1187">
            <v>8010036570</v>
          </cell>
          <cell r="D1187" t="str">
            <v>给水用聚乙烯HDPE直管(1.6MPa)黑色 dn40 11.8M(IDN)</v>
          </cell>
          <cell r="E1187" t="str">
            <v>Pipa HDPE Polyethylene untuk Suplai Air (1.6 MPa) Warna Hitam dn40 11.8M(IDN)</v>
          </cell>
          <cell r="F1187">
            <v>1</v>
          </cell>
          <cell r="G1187">
            <v>261792</v>
          </cell>
          <cell r="H1187">
            <v>235849</v>
          </cell>
          <cell r="I1187">
            <v>0.12</v>
          </cell>
          <cell r="J1187">
            <v>268011</v>
          </cell>
          <cell r="K1187">
            <v>0.1</v>
          </cell>
          <cell r="L1187">
            <v>262055</v>
          </cell>
        </row>
        <row r="1188">
          <cell r="C1188">
            <v>8010036571</v>
          </cell>
          <cell r="D1188" t="str">
            <v>给水用聚乙烯HDPE直管(1.6MPa)黑色 dn40 12M(IDN)</v>
          </cell>
          <cell r="E1188" t="str">
            <v>Pipa HDPE Polyethylene untuk Suplai Air (1.6 MPa) Warna Hitam dn40 12M(IDN)</v>
          </cell>
          <cell r="F1188">
            <v>1</v>
          </cell>
          <cell r="G1188">
            <v>266250</v>
          </cell>
          <cell r="H1188">
            <v>239865</v>
          </cell>
          <cell r="I1188">
            <v>0.12</v>
          </cell>
          <cell r="J1188">
            <v>272574</v>
          </cell>
          <cell r="K1188">
            <v>0.1</v>
          </cell>
          <cell r="L1188">
            <v>266517</v>
          </cell>
        </row>
        <row r="1189">
          <cell r="C1189">
            <v>8010036588</v>
          </cell>
          <cell r="D1189" t="str">
            <v>给水用聚乙烯HDPE直管(1.6MPa)黑色 dn50 5.8M(IDN)</v>
          </cell>
          <cell r="E1189" t="str">
            <v>Pipa HDPE Polyethylene untuk Suplai Air (1.6 MPa) Warna Hitam dn50 5.8M(IDN)</v>
          </cell>
          <cell r="F1189">
            <v>1</v>
          </cell>
          <cell r="G1189">
            <v>198509</v>
          </cell>
          <cell r="H1189">
            <v>178837</v>
          </cell>
          <cell r="I1189">
            <v>0.12</v>
          </cell>
          <cell r="J1189">
            <v>203224</v>
          </cell>
          <cell r="K1189">
            <v>0.1</v>
          </cell>
          <cell r="L1189">
            <v>198708</v>
          </cell>
        </row>
        <row r="1190">
          <cell r="C1190">
            <v>8010036589</v>
          </cell>
          <cell r="D1190" t="str">
            <v>给水用聚乙烯HDPE直管(1.6MPa)黑色 dn50 6M(IDN)</v>
          </cell>
          <cell r="E1190" t="str">
            <v>Pipa HDPE Polyethylene untuk Suplai Air (1.6 MPa) Warna Hitam dn50 6M(IDN)</v>
          </cell>
          <cell r="F1190">
            <v>1</v>
          </cell>
          <cell r="G1190">
            <v>205375</v>
          </cell>
          <cell r="H1190">
            <v>185023</v>
          </cell>
          <cell r="I1190">
            <v>0.12</v>
          </cell>
          <cell r="J1190">
            <v>210254</v>
          </cell>
          <cell r="K1190">
            <v>0.1</v>
          </cell>
          <cell r="L1190">
            <v>205582</v>
          </cell>
        </row>
        <row r="1191">
          <cell r="C1191">
            <v>8010036590</v>
          </cell>
          <cell r="D1191" t="str">
            <v>给水用聚乙烯HDPE直管(1.6MPa)黑色 dn50 11.8M(IDN)</v>
          </cell>
          <cell r="E1191" t="str">
            <v>Pipa HDPE Polyethylene untuk Suplai Air (1.6 MPa) Warna Hitam dn50 11.8M(IDN)</v>
          </cell>
          <cell r="F1191">
            <v>1</v>
          </cell>
          <cell r="G1191">
            <v>403885</v>
          </cell>
          <cell r="H1191">
            <v>363861</v>
          </cell>
          <cell r="I1191">
            <v>0.12</v>
          </cell>
          <cell r="J1191">
            <v>413479</v>
          </cell>
          <cell r="K1191">
            <v>0.1</v>
          </cell>
          <cell r="L1191">
            <v>404290</v>
          </cell>
        </row>
        <row r="1192">
          <cell r="C1192">
            <v>8010036591</v>
          </cell>
          <cell r="D1192" t="str">
            <v>给水用聚乙烯HDPE直管(1.6MPa)黑色 dn50 12M(IDN)</v>
          </cell>
          <cell r="E1192" t="str">
            <v>Pipa HDPE Polyethylene untuk Suplai Air (1.6 MPa) Warna Hitam dn50 12M(IDN)</v>
          </cell>
          <cell r="F1192">
            <v>1</v>
          </cell>
          <cell r="G1192">
            <v>410751</v>
          </cell>
          <cell r="H1192">
            <v>370046</v>
          </cell>
          <cell r="I1192">
            <v>0.12</v>
          </cell>
          <cell r="J1192">
            <v>420507</v>
          </cell>
          <cell r="K1192">
            <v>0.1</v>
          </cell>
          <cell r="L1192">
            <v>411163</v>
          </cell>
        </row>
        <row r="1193">
          <cell r="C1193">
            <v>8010036608</v>
          </cell>
          <cell r="D1193" t="str">
            <v>给水用聚乙烯HDPE直管(1.6MPa)黑色 dn63 5.8M(IDN)</v>
          </cell>
          <cell r="E1193" t="str">
            <v>Pipa HDPE Polyethylene untuk Suplai Air (1.6 MPa) Warna Hitam dn63 5.8M(IDN)</v>
          </cell>
          <cell r="F1193">
            <v>1</v>
          </cell>
          <cell r="G1193">
            <v>313854</v>
          </cell>
          <cell r="H1193">
            <v>282752</v>
          </cell>
          <cell r="I1193">
            <v>0.12</v>
          </cell>
          <cell r="J1193">
            <v>321310</v>
          </cell>
          <cell r="K1193">
            <v>0.1</v>
          </cell>
          <cell r="L1193">
            <v>314169</v>
          </cell>
        </row>
        <row r="1194">
          <cell r="C1194">
            <v>8010036609</v>
          </cell>
          <cell r="D1194" t="str">
            <v>给水用聚乙烯HDPE直管(1.6MPa)黑色 dn63 6M(IDN)</v>
          </cell>
          <cell r="E1194" t="str">
            <v>Pipa HDPE Polyethylene untuk Suplai Air (1.6 MPa) Warna Hitam dn63 6M(IDN)</v>
          </cell>
          <cell r="F1194">
            <v>1</v>
          </cell>
          <cell r="G1194">
            <v>324666</v>
          </cell>
          <cell r="H1194">
            <v>292492</v>
          </cell>
          <cell r="I1194">
            <v>0.12</v>
          </cell>
          <cell r="J1194">
            <v>332378</v>
          </cell>
          <cell r="K1194">
            <v>0.1</v>
          </cell>
          <cell r="L1194">
            <v>324992</v>
          </cell>
        </row>
        <row r="1195">
          <cell r="C1195">
            <v>8010036610</v>
          </cell>
          <cell r="D1195" t="str">
            <v>给水用聚乙烯HDPE直管(1.6MPa)黑色 dn63 11.8M(IDN)</v>
          </cell>
          <cell r="E1195" t="str">
            <v>Pipa HDPE Polyethylene untuk Suplai Air (1.6 MPa) Warna Hitam dn63 11.8M(IDN)</v>
          </cell>
          <cell r="F1195">
            <v>1</v>
          </cell>
          <cell r="G1195">
            <v>638519</v>
          </cell>
          <cell r="H1195">
            <v>575243</v>
          </cell>
          <cell r="I1195">
            <v>0.12</v>
          </cell>
          <cell r="J1195">
            <v>653686</v>
          </cell>
          <cell r="K1195">
            <v>0.1</v>
          </cell>
          <cell r="L1195">
            <v>639159</v>
          </cell>
        </row>
        <row r="1196">
          <cell r="C1196">
            <v>8010036611</v>
          </cell>
          <cell r="D1196" t="str">
            <v>给水用聚乙烯HDPE直管(1.6MPa)黑色 dn63 12M(IDN)</v>
          </cell>
          <cell r="E1196" t="str">
            <v>Pipa HDPE Polyethylene untuk Suplai Air (1.6 MPa) Warna Hitam dn63 12M(IDN)</v>
          </cell>
          <cell r="F1196">
            <v>1</v>
          </cell>
          <cell r="G1196">
            <v>649331</v>
          </cell>
          <cell r="H1196">
            <v>584983</v>
          </cell>
          <cell r="I1196">
            <v>0.12</v>
          </cell>
          <cell r="J1196">
            <v>664754</v>
          </cell>
          <cell r="K1196">
            <v>0.1</v>
          </cell>
          <cell r="L1196">
            <v>649982</v>
          </cell>
        </row>
        <row r="1197">
          <cell r="C1197">
            <v>8010036820</v>
          </cell>
          <cell r="D1197" t="str">
            <v>给水用聚乙烯HDPE直管(1.6MPa)黑色 dn200 5.8M(IDN)</v>
          </cell>
          <cell r="E1197" t="str">
            <v>Pipa HDPE Polyethylene untuk Suplai Air (1.6 MPa) Warna Hitam dn200 5.8M(IDN)</v>
          </cell>
          <cell r="F1197">
            <v>1</v>
          </cell>
          <cell r="G1197">
            <v>3116453</v>
          </cell>
          <cell r="H1197">
            <v>2807616</v>
          </cell>
          <cell r="I1197">
            <v>0.12</v>
          </cell>
          <cell r="J1197">
            <v>3190473</v>
          </cell>
          <cell r="K1197">
            <v>0.1</v>
          </cell>
          <cell r="L1197">
            <v>3119574</v>
          </cell>
        </row>
        <row r="1198">
          <cell r="C1198">
            <v>8010036821</v>
          </cell>
          <cell r="D1198" t="str">
            <v>给水用聚乙烯HDPE直管(1.6MPa)黑色 dn200 6M(IDN)</v>
          </cell>
          <cell r="E1198" t="str">
            <v>Pipa HDPE Polyethylene untuk Suplai Air (1.6 MPa) Warna Hitam dn200 6M(IDN)</v>
          </cell>
          <cell r="F1198">
            <v>1</v>
          </cell>
          <cell r="G1198">
            <v>3223906</v>
          </cell>
          <cell r="H1198">
            <v>2904420</v>
          </cell>
          <cell r="I1198">
            <v>0.12</v>
          </cell>
          <cell r="J1198">
            <v>3300478</v>
          </cell>
          <cell r="K1198">
            <v>0.1</v>
          </cell>
          <cell r="L1198">
            <v>3227134</v>
          </cell>
        </row>
        <row r="1199">
          <cell r="C1199">
            <v>8010036822</v>
          </cell>
          <cell r="D1199" t="str">
            <v>给水用聚乙烯HDPE直管(1.6MPa)黑色 dn200 11.8M(IDN)</v>
          </cell>
          <cell r="E1199" t="str">
            <v>Pipa HDPE Polyethylene untuk Suplai Air (1.6 MPa) Warna Hitam dn200 11.8M(IDN)</v>
          </cell>
          <cell r="F1199">
            <v>1</v>
          </cell>
          <cell r="G1199">
            <v>6340359</v>
          </cell>
          <cell r="H1199">
            <v>5712036</v>
          </cell>
          <cell r="I1199">
            <v>0.12</v>
          </cell>
          <cell r="J1199">
            <v>6490950</v>
          </cell>
          <cell r="K1199">
            <v>0.1</v>
          </cell>
          <cell r="L1199">
            <v>6346707</v>
          </cell>
        </row>
        <row r="1200">
          <cell r="C1200">
            <v>8010036823</v>
          </cell>
          <cell r="D1200" t="str">
            <v>给水用聚乙烯HDPE直管(1.6MPa)黑色 dn200 12M(IDN)</v>
          </cell>
          <cell r="E1200" t="str">
            <v>Pipa HDPE Polyethylene untuk Suplai Air (1.6 MPa) Warna Hitam dn200 12M(IDN)</v>
          </cell>
          <cell r="F1200">
            <v>1</v>
          </cell>
          <cell r="G1200">
            <v>6447812</v>
          </cell>
          <cell r="H1200">
            <v>5808840</v>
          </cell>
          <cell r="I1200">
            <v>0.12</v>
          </cell>
          <cell r="J1200">
            <v>6600955</v>
          </cell>
          <cell r="K1200">
            <v>0.1</v>
          </cell>
          <cell r="L1200">
            <v>6454267</v>
          </cell>
        </row>
        <row r="1201">
          <cell r="C1201">
            <v>8010036848</v>
          </cell>
          <cell r="D1201" t="str">
            <v>给水用聚乙烯HDPE直管(1.6MPa)黑色 dn225 5.8M(IDN)</v>
          </cell>
          <cell r="E1201" t="str">
            <v>Pipa HDPE Polyethylene untuk Suplai Air (1.6 MPa) Warna Hitam dn225 5.8M(IDN)</v>
          </cell>
          <cell r="F1201">
            <v>1</v>
          </cell>
          <cell r="G1201">
            <v>3944719</v>
          </cell>
          <cell r="H1201">
            <v>3553801</v>
          </cell>
          <cell r="I1201">
            <v>0.12</v>
          </cell>
          <cell r="J1201">
            <v>4038411</v>
          </cell>
          <cell r="K1201">
            <v>0.1</v>
          </cell>
          <cell r="L1201">
            <v>3948668</v>
          </cell>
        </row>
        <row r="1202">
          <cell r="C1202">
            <v>8010036849</v>
          </cell>
          <cell r="D1202" t="str">
            <v>给水用聚乙烯HDPE直管(1.6MPa)黑色 dn225 6M(IDN)</v>
          </cell>
          <cell r="E1202" t="str">
            <v>Pipa HDPE Polyethylene untuk Suplai Air (1.6 MPa) Warna Hitam dn225 6M(IDN)</v>
          </cell>
          <cell r="F1202">
            <v>1</v>
          </cell>
          <cell r="G1202">
            <v>4080765</v>
          </cell>
          <cell r="H1202">
            <v>3676365</v>
          </cell>
          <cell r="I1202">
            <v>0.12</v>
          </cell>
          <cell r="J1202">
            <v>4177688</v>
          </cell>
          <cell r="K1202">
            <v>0.1</v>
          </cell>
          <cell r="L1202">
            <v>4084850</v>
          </cell>
        </row>
        <row r="1203">
          <cell r="C1203">
            <v>8010036850</v>
          </cell>
          <cell r="D1203" t="str">
            <v>给水用聚乙烯HDPE直管(1.6MPa)黑色 dn225 11.8M(IDN)</v>
          </cell>
          <cell r="E1203" t="str">
            <v>Pipa HDPE Polyethylene untuk Suplai Air (1.6 MPa) Warna Hitam dn225 11.8M(IDN)</v>
          </cell>
          <cell r="F1203">
            <v>1</v>
          </cell>
          <cell r="G1203">
            <v>8025485</v>
          </cell>
          <cell r="H1203">
            <v>7230167</v>
          </cell>
          <cell r="I1203">
            <v>0.12</v>
          </cell>
          <cell r="J1203">
            <v>8216099</v>
          </cell>
          <cell r="K1203">
            <v>0.1</v>
          </cell>
          <cell r="L1203">
            <v>8033519</v>
          </cell>
        </row>
        <row r="1204">
          <cell r="C1204">
            <v>8010036851</v>
          </cell>
          <cell r="D1204" t="str">
            <v>给水用聚乙烯HDPE直管(1.6MPa)黑色 dn225 12M(IDN)</v>
          </cell>
          <cell r="E1204" t="str">
            <v>Pipa HDPE Polyethylene untuk Suplai Air (1.6 MPa) Warna Hitam dn225 12M(IDN)</v>
          </cell>
          <cell r="F1204">
            <v>1</v>
          </cell>
          <cell r="G1204">
            <v>8161531</v>
          </cell>
          <cell r="H1204">
            <v>7352731</v>
          </cell>
          <cell r="I1204">
            <v>0.12</v>
          </cell>
          <cell r="J1204">
            <v>8355377</v>
          </cell>
          <cell r="K1204">
            <v>0.1</v>
          </cell>
          <cell r="L1204">
            <v>8169702</v>
          </cell>
        </row>
        <row r="1205">
          <cell r="C1205">
            <v>8010036876</v>
          </cell>
          <cell r="D1205" t="str">
            <v>给水用聚乙烯HDPE直管(1.6MPa)黑色 dn250 5.8M(IDN)</v>
          </cell>
          <cell r="E1205" t="str">
            <v>Pipa HDPE Polyethylene untuk Suplai Air (1.6 MPa) Warna Hitam dn250 5.8M(IDN)</v>
          </cell>
          <cell r="F1205">
            <v>1</v>
          </cell>
          <cell r="G1205">
            <v>4851180</v>
          </cell>
          <cell r="H1205">
            <v>4370433</v>
          </cell>
          <cell r="I1205">
            <v>0.12</v>
          </cell>
          <cell r="J1205">
            <v>4966402</v>
          </cell>
          <cell r="K1205">
            <v>0.1</v>
          </cell>
          <cell r="L1205">
            <v>4856037</v>
          </cell>
        </row>
        <row r="1206">
          <cell r="C1206">
            <v>8010036877</v>
          </cell>
          <cell r="D1206" t="str">
            <v>给水用聚乙烯HDPE直管(1.6MPa)黑色 dn250 6M(IDN)</v>
          </cell>
          <cell r="E1206" t="str">
            <v>Pipa HDPE Polyethylene untuk Suplai Air (1.6 MPa) Warna Hitam dn250 6M(IDN)</v>
          </cell>
          <cell r="F1206">
            <v>1</v>
          </cell>
          <cell r="G1206">
            <v>5018484</v>
          </cell>
          <cell r="H1206">
            <v>4521157</v>
          </cell>
          <cell r="I1206">
            <v>0.12</v>
          </cell>
          <cell r="J1206">
            <v>5137679</v>
          </cell>
          <cell r="K1206">
            <v>0.1</v>
          </cell>
          <cell r="L1206">
            <v>5023508</v>
          </cell>
        </row>
        <row r="1207">
          <cell r="C1207">
            <v>8010036878</v>
          </cell>
          <cell r="D1207" t="str">
            <v>给水用聚乙烯HDPE直管(1.6MPa)黑色 dn250 11.8M(IDN)</v>
          </cell>
          <cell r="E1207" t="str">
            <v>Pipa HDPE Polyethylene untuk Suplai Air (1.6 MPa) Warna Hitam dn250 11.8M(IDN)</v>
          </cell>
          <cell r="F1207">
            <v>1</v>
          </cell>
          <cell r="G1207">
            <v>9869664</v>
          </cell>
          <cell r="H1207">
            <v>8891590</v>
          </cell>
          <cell r="I1207">
            <v>0.12</v>
          </cell>
          <cell r="J1207">
            <v>10104080</v>
          </cell>
          <cell r="K1207">
            <v>0.1</v>
          </cell>
          <cell r="L1207">
            <v>9879545</v>
          </cell>
        </row>
        <row r="1208">
          <cell r="C1208">
            <v>8010036879</v>
          </cell>
          <cell r="D1208" t="str">
            <v>给水用聚乙烯HDPE直管(1.6MPa)黑色 dn250 12M(IDN)</v>
          </cell>
          <cell r="E1208" t="str">
            <v>Pipa HDPE Polyethylene untuk Suplai Air (1.6 MPa) Warna Hitam dn250 12M(IDN)</v>
          </cell>
          <cell r="F1208">
            <v>1</v>
          </cell>
          <cell r="G1208">
            <v>10036968</v>
          </cell>
          <cell r="H1208">
            <v>9042314</v>
          </cell>
          <cell r="I1208">
            <v>0.12</v>
          </cell>
          <cell r="J1208">
            <v>10275357</v>
          </cell>
          <cell r="K1208">
            <v>0.1</v>
          </cell>
          <cell r="L1208">
            <v>10047016</v>
          </cell>
        </row>
        <row r="1209">
          <cell r="C1209">
            <v>8010036932</v>
          </cell>
          <cell r="D1209" t="str">
            <v>给水用聚乙烯HDPE直管(1.6MPa)黑色 dn315 5.8M(IDN)</v>
          </cell>
          <cell r="E1209" t="str">
            <v>Pipa HDPE Polyethylene untuk Suplai Air (1.6 MPa) Warna Hitam dn315 5.8M(IDN)</v>
          </cell>
          <cell r="F1209">
            <v>1</v>
          </cell>
          <cell r="G1209">
            <v>7698667</v>
          </cell>
          <cell r="H1209">
            <v>6935737</v>
          </cell>
          <cell r="I1209">
            <v>0.12</v>
          </cell>
          <cell r="J1209">
            <v>7881520</v>
          </cell>
          <cell r="K1209">
            <v>0.1</v>
          </cell>
          <cell r="L1209">
            <v>7706375</v>
          </cell>
        </row>
        <row r="1210">
          <cell r="C1210">
            <v>8010036933</v>
          </cell>
          <cell r="D1210" t="str">
            <v>给水用聚乙烯HDPE直管(1.6MPa)黑色 dn315 6M(IDN)</v>
          </cell>
          <cell r="E1210" t="str">
            <v>Pipa HDPE Polyethylene untuk Suplai Air (1.6 MPa) Warna Hitam dn315 6M(IDN)</v>
          </cell>
          <cell r="F1210">
            <v>1</v>
          </cell>
          <cell r="G1210">
            <v>7964149</v>
          </cell>
          <cell r="H1210">
            <v>7174910</v>
          </cell>
          <cell r="I1210">
            <v>0.12</v>
          </cell>
          <cell r="J1210">
            <v>8153307</v>
          </cell>
          <cell r="K1210">
            <v>0.1</v>
          </cell>
          <cell r="L1210">
            <v>7972123</v>
          </cell>
        </row>
        <row r="1211">
          <cell r="C1211">
            <v>8010036934</v>
          </cell>
          <cell r="D1211" t="str">
            <v>给水用聚乙烯HDPE直管(1.6MPa)黑色 dn315 11.8M(IDN)</v>
          </cell>
          <cell r="E1211" t="str">
            <v>Pipa HDPE Polyethylene untuk Suplai Air (1.6 MPa) Warna Hitam dn315 11.8M(IDN)</v>
          </cell>
          <cell r="F1211">
            <v>1</v>
          </cell>
          <cell r="G1211">
            <v>15662816</v>
          </cell>
          <cell r="H1211">
            <v>14110646</v>
          </cell>
          <cell r="I1211">
            <v>0.12</v>
          </cell>
          <cell r="J1211">
            <v>16034825</v>
          </cell>
          <cell r="K1211">
            <v>0.1</v>
          </cell>
          <cell r="L1211">
            <v>15678496</v>
          </cell>
        </row>
        <row r="1212">
          <cell r="C1212">
            <v>8010036935</v>
          </cell>
          <cell r="D1212" t="str">
            <v>给水用聚乙烯HDPE直管(1.6MPa)黑色 dn315 12M(IDN)</v>
          </cell>
          <cell r="E1212" t="str">
            <v>Pipa HDPE Polyethylene untuk Suplai Air (1.6 MPa) Warna Hitam dn315 12M(IDN)</v>
          </cell>
          <cell r="F1212">
            <v>1</v>
          </cell>
          <cell r="G1212">
            <v>15928298</v>
          </cell>
          <cell r="H1212">
            <v>14349819</v>
          </cell>
          <cell r="I1212">
            <v>0.12</v>
          </cell>
          <cell r="J1212">
            <v>16306613</v>
          </cell>
          <cell r="K1212">
            <v>0.1</v>
          </cell>
          <cell r="L1212">
            <v>15944244</v>
          </cell>
        </row>
        <row r="1213">
          <cell r="C1213">
            <v>8010036960</v>
          </cell>
          <cell r="D1213" t="str">
            <v>给水用聚乙烯HDPE直管(1.6MPa)黑色 dn355 5.8M(IDN)</v>
          </cell>
          <cell r="E1213" t="str">
            <v>Pipa HDPE Polyethylene untuk Suplai Air (1.6 MPa) Warna Hitam dn355 5.8M(IDN)</v>
          </cell>
          <cell r="F1213">
            <v>1</v>
          </cell>
          <cell r="G1213">
            <v>9773433</v>
          </cell>
          <cell r="H1213">
            <v>8804895</v>
          </cell>
          <cell r="I1213">
            <v>0.12</v>
          </cell>
          <cell r="J1213">
            <v>10005563</v>
          </cell>
          <cell r="K1213">
            <v>0.1</v>
          </cell>
          <cell r="L1213">
            <v>9783217</v>
          </cell>
        </row>
        <row r="1214">
          <cell r="C1214">
            <v>8010036961</v>
          </cell>
          <cell r="D1214" t="str">
            <v>给水用聚乙烯HDPE直管(1.6MPa)黑色 dn355 6M(IDN)</v>
          </cell>
          <cell r="E1214" t="str">
            <v>Pipa HDPE Polyethylene untuk Suplai Air (1.6 MPa) Warna Hitam dn355 6M(IDN)</v>
          </cell>
          <cell r="F1214">
            <v>1</v>
          </cell>
          <cell r="G1214">
            <v>10110448</v>
          </cell>
          <cell r="H1214">
            <v>9108512</v>
          </cell>
          <cell r="I1214">
            <v>0.12</v>
          </cell>
          <cell r="J1214">
            <v>10350582</v>
          </cell>
          <cell r="K1214">
            <v>0.1</v>
          </cell>
          <cell r="L1214">
            <v>10120569</v>
          </cell>
        </row>
        <row r="1215">
          <cell r="C1215">
            <v>8010036962</v>
          </cell>
          <cell r="D1215" t="str">
            <v>给水用聚乙烯HDPE直管(1.6MPa)黑色 dn355 11.8M(IDN)</v>
          </cell>
          <cell r="E1215" t="str">
            <v>Pipa HDPE Polyethylene untuk Suplai Air (1.6 MPa) Warna Hitam dn355 11.8M(IDN)</v>
          </cell>
          <cell r="F1215">
            <v>1</v>
          </cell>
          <cell r="G1215">
            <v>19883881</v>
          </cell>
          <cell r="H1215">
            <v>17913407</v>
          </cell>
          <cell r="I1215">
            <v>0.12</v>
          </cell>
          <cell r="J1215">
            <v>20356145</v>
          </cell>
          <cell r="K1215">
            <v>0.1</v>
          </cell>
          <cell r="L1215">
            <v>19903786</v>
          </cell>
        </row>
        <row r="1216">
          <cell r="C1216">
            <v>8010036963</v>
          </cell>
          <cell r="D1216" t="str">
            <v>给水用聚乙烯HDPE直管(1.6MPa)黑色 dn355 12M(IDN)</v>
          </cell>
          <cell r="E1216" t="str">
            <v>Pipa HDPE Polyethylene untuk Suplai Air (1.6 MPa) Warna Hitam dn355 12M(IDN)</v>
          </cell>
          <cell r="F1216">
            <v>1</v>
          </cell>
          <cell r="G1216">
            <v>20220896</v>
          </cell>
          <cell r="H1216">
            <v>18217024</v>
          </cell>
          <cell r="I1216">
            <v>0.12</v>
          </cell>
          <cell r="J1216">
            <v>20701164</v>
          </cell>
          <cell r="K1216">
            <v>0.1</v>
          </cell>
          <cell r="L1216">
            <v>20241138</v>
          </cell>
        </row>
        <row r="1217">
          <cell r="C1217">
            <v>8010036988</v>
          </cell>
          <cell r="D1217" t="str">
            <v>给水用聚乙烯HDPE直管(1.6MPa)黑色 dn400 5.8M(IDN)</v>
          </cell>
          <cell r="E1217" t="str">
            <v>Pipa HDPE Polyethylene untuk Suplai Air (1.6 MPa) Warna Hitam dn400 5.8M(IDN)</v>
          </cell>
          <cell r="F1217">
            <v>1</v>
          </cell>
          <cell r="G1217">
            <v>12407499</v>
          </cell>
          <cell r="H1217">
            <v>11177928</v>
          </cell>
          <cell r="I1217">
            <v>0.12</v>
          </cell>
          <cell r="J1217">
            <v>12702191</v>
          </cell>
          <cell r="K1217">
            <v>0.1</v>
          </cell>
          <cell r="L1217">
            <v>12419920</v>
          </cell>
        </row>
        <row r="1218">
          <cell r="C1218">
            <v>8010036989</v>
          </cell>
          <cell r="D1218" t="str">
            <v>给水用聚乙烯HDPE直管(1.6MPa)黑色 dn400 6M(IDN)</v>
          </cell>
          <cell r="E1218" t="str">
            <v>Pipa HDPE Polyethylene untuk Suplai Air (1.6 MPa) Warna Hitam dn400 6M(IDN)</v>
          </cell>
          <cell r="F1218">
            <v>1</v>
          </cell>
          <cell r="G1218">
            <v>12835365</v>
          </cell>
          <cell r="H1218">
            <v>11563392</v>
          </cell>
          <cell r="I1218">
            <v>0.12</v>
          </cell>
          <cell r="J1218">
            <v>13140219</v>
          </cell>
          <cell r="K1218">
            <v>0.1</v>
          </cell>
          <cell r="L1218">
            <v>12848214</v>
          </cell>
        </row>
        <row r="1219">
          <cell r="C1219">
            <v>8010036990</v>
          </cell>
          <cell r="D1219" t="str">
            <v>给水用聚乙烯HDPE直管(1.6MPa)黑色 dn400 11.8M(IDN)</v>
          </cell>
          <cell r="E1219" t="str">
            <v>Pipa HDPE Polyethylene untuk Suplai Air (1.6 MPa) Warna Hitam dn400 11.8M(IDN)</v>
          </cell>
          <cell r="F1219">
            <v>1</v>
          </cell>
          <cell r="G1219">
            <v>25242865</v>
          </cell>
          <cell r="H1219">
            <v>22741320</v>
          </cell>
          <cell r="I1219">
            <v>0.12</v>
          </cell>
          <cell r="J1219">
            <v>25842410</v>
          </cell>
          <cell r="K1219">
            <v>0.1</v>
          </cell>
          <cell r="L1219">
            <v>25268134</v>
          </cell>
        </row>
        <row r="1220">
          <cell r="C1220">
            <v>8010036991</v>
          </cell>
          <cell r="D1220" t="str">
            <v>给水用聚乙烯HDPE直管(1.6MPa)黑色 dn400 12M(IDN)</v>
          </cell>
          <cell r="E1220" t="str">
            <v>Pipa HDPE Polyethylene untuk Suplai Air (1.6 MPa) Warna Hitam dn400 12M(IDN)</v>
          </cell>
          <cell r="F1220">
            <v>1</v>
          </cell>
          <cell r="G1220">
            <v>25670731</v>
          </cell>
          <cell r="H1220">
            <v>23126785</v>
          </cell>
          <cell r="I1220">
            <v>0.12</v>
          </cell>
          <cell r="J1220">
            <v>26280438</v>
          </cell>
          <cell r="K1220">
            <v>0.1</v>
          </cell>
          <cell r="L1220">
            <v>25696428</v>
          </cell>
        </row>
        <row r="1221">
          <cell r="C1221">
            <v>8010037016</v>
          </cell>
          <cell r="D1221" t="str">
            <v>给水用聚乙烯HDPE直管(1.6MPa)黑色 dn450 5.8M(IDN)</v>
          </cell>
          <cell r="E1221" t="str">
            <v>Pipa HDPE Polyethylene untuk Suplai Air (1.6 MPa) Warna Hitam dn450 5.8M(IDN)</v>
          </cell>
          <cell r="F1221">
            <v>1</v>
          </cell>
          <cell r="G1221">
            <v>15711496</v>
          </cell>
          <cell r="H1221">
            <v>14154501</v>
          </cell>
          <cell r="I1221">
            <v>0.12</v>
          </cell>
          <cell r="J1221">
            <v>16084661</v>
          </cell>
          <cell r="K1221">
            <v>0.1</v>
          </cell>
          <cell r="L1221">
            <v>15727224</v>
          </cell>
        </row>
        <row r="1222">
          <cell r="C1222">
            <v>8010037017</v>
          </cell>
          <cell r="D1222" t="str">
            <v>给水用聚乙烯HDPE直管(1.6MPa)黑色 dn450 6M(IDN)</v>
          </cell>
          <cell r="E1222" t="str">
            <v>Pipa HDPE Polyethylene untuk Suplai Air (1.6 MPa) Warna Hitam dn450 6M(IDN)</v>
          </cell>
          <cell r="F1222">
            <v>1</v>
          </cell>
          <cell r="G1222">
            <v>16253272</v>
          </cell>
          <cell r="H1222">
            <v>14642588</v>
          </cell>
          <cell r="I1222">
            <v>0.12</v>
          </cell>
          <cell r="J1222">
            <v>16639305</v>
          </cell>
          <cell r="K1222">
            <v>0.1</v>
          </cell>
          <cell r="L1222">
            <v>16269543</v>
          </cell>
        </row>
        <row r="1223">
          <cell r="C1223">
            <v>8010037018</v>
          </cell>
          <cell r="D1223" t="str">
            <v>给水用聚乙烯HDPE直管(1.6MPa)黑色 dn450 11.8M(IDN)</v>
          </cell>
          <cell r="E1223" t="str">
            <v>Pipa HDPE Polyethylene untuk Suplai Air (1.6 MPa) Warna Hitam dn450 11.8M(IDN)</v>
          </cell>
          <cell r="F1223">
            <v>1</v>
          </cell>
          <cell r="G1223">
            <v>31964768</v>
          </cell>
          <cell r="H1223">
            <v>28797089</v>
          </cell>
          <cell r="I1223">
            <v>0.12</v>
          </cell>
          <cell r="J1223">
            <v>32723965</v>
          </cell>
          <cell r="K1223">
            <v>0.1</v>
          </cell>
          <cell r="L1223">
            <v>31996766</v>
          </cell>
        </row>
        <row r="1224">
          <cell r="C1224">
            <v>8010037019</v>
          </cell>
          <cell r="D1224" t="str">
            <v>给水用聚乙烯HDPE直管(1.6MPa)黑色 dn450 12M(IDN)</v>
          </cell>
          <cell r="E1224" t="str">
            <v>Pipa HDPE Polyethylene untuk Suplai Air (1.6 MPa) Warna Hitam dn450 12M(IDN)</v>
          </cell>
          <cell r="F1224">
            <v>1</v>
          </cell>
          <cell r="G1224">
            <v>32506543</v>
          </cell>
          <cell r="H1224">
            <v>29285174</v>
          </cell>
          <cell r="I1224">
            <v>0.12</v>
          </cell>
          <cell r="J1224">
            <v>33278607</v>
          </cell>
          <cell r="K1224">
            <v>0.1</v>
          </cell>
          <cell r="L1224">
            <v>32539083</v>
          </cell>
        </row>
        <row r="1225">
          <cell r="C1225">
            <v>8010037044</v>
          </cell>
          <cell r="D1225" t="str">
            <v>给水用聚乙烯HDPE直管(1.6MPa)黑色 dn500 5.8M(IDN)</v>
          </cell>
          <cell r="E1225" t="str">
            <v>Pipa HDPE Polyethylene untuk Suplai Air (1.6 MPa) Warna Hitam dn500 5.8M(IDN)</v>
          </cell>
          <cell r="F1225">
            <v>1</v>
          </cell>
          <cell r="G1225">
            <v>19386686</v>
          </cell>
          <cell r="H1225">
            <v>17465483</v>
          </cell>
          <cell r="I1225">
            <v>0.12</v>
          </cell>
          <cell r="J1225">
            <v>19847140</v>
          </cell>
          <cell r="K1225">
            <v>0.1</v>
          </cell>
          <cell r="L1225">
            <v>19406093</v>
          </cell>
        </row>
        <row r="1226">
          <cell r="C1226">
            <v>8010037045</v>
          </cell>
          <cell r="D1226" t="str">
            <v>给水用聚乙烯HDPE直管(1.6MPa)黑色 dn500 6M(IDN)</v>
          </cell>
          <cell r="E1226" t="str">
            <v>Pipa HDPE Polyethylene untuk Suplai Air (1.6 MPa) Warna Hitam dn500 6M(IDN)</v>
          </cell>
          <cell r="F1226">
            <v>1</v>
          </cell>
          <cell r="G1226">
            <v>20055181</v>
          </cell>
          <cell r="H1226">
            <v>18067731</v>
          </cell>
          <cell r="I1226">
            <v>0.12</v>
          </cell>
          <cell r="J1226">
            <v>20531513</v>
          </cell>
          <cell r="K1226">
            <v>0.1</v>
          </cell>
          <cell r="L1226">
            <v>20075257</v>
          </cell>
        </row>
        <row r="1227">
          <cell r="C1227">
            <v>8010037046</v>
          </cell>
          <cell r="D1227" t="str">
            <v>给水用聚乙烯HDPE直管(1.6MPa)黑色 dn500 11.8M(IDN)</v>
          </cell>
          <cell r="E1227" t="str">
            <v>Pipa HDPE Polyethylene untuk Suplai Air (1.6 MPa) Warna Hitam dn500 11.8M(IDN)</v>
          </cell>
          <cell r="F1227">
            <v>1</v>
          </cell>
          <cell r="G1227">
            <v>39441867</v>
          </cell>
          <cell r="H1227">
            <v>35533214</v>
          </cell>
          <cell r="I1227">
            <v>0.12</v>
          </cell>
          <cell r="J1227">
            <v>40378653</v>
          </cell>
          <cell r="K1227">
            <v>0.1</v>
          </cell>
          <cell r="L1227">
            <v>39481349</v>
          </cell>
        </row>
        <row r="1228">
          <cell r="C1228">
            <v>8010037047</v>
          </cell>
          <cell r="D1228" t="str">
            <v>给水用聚乙烯HDPE直管(1.6MPa)黑色 dn500 12M(IDN)</v>
          </cell>
          <cell r="E1228" t="str">
            <v>Pipa HDPE Polyethylene untuk Suplai Air (1.6 MPa) Warna Hitam dn500 12M(IDN)</v>
          </cell>
          <cell r="F1228">
            <v>1</v>
          </cell>
          <cell r="G1228">
            <v>40110363</v>
          </cell>
          <cell r="H1228">
            <v>36135463</v>
          </cell>
          <cell r="I1228">
            <v>0.12</v>
          </cell>
          <cell r="J1228">
            <v>41063027</v>
          </cell>
          <cell r="K1228">
            <v>0.1</v>
          </cell>
          <cell r="L1228">
            <v>40150515</v>
          </cell>
        </row>
        <row r="1229">
          <cell r="C1229">
            <v>8010037068</v>
          </cell>
          <cell r="D1229" t="str">
            <v>给水用聚乙烯HDPE直管(1.6MPa)黑色 dn560 5.8M(IDN)</v>
          </cell>
          <cell r="E1229" t="str">
            <v>Pipa HDPE Polyethylene untuk Suplai Air (1.6 MPa) Warna Hitam dn560 5.8M(IDN)</v>
          </cell>
          <cell r="F1229">
            <v>1</v>
          </cell>
          <cell r="G1229">
            <v>24287212</v>
          </cell>
          <cell r="H1229">
            <v>21880372</v>
          </cell>
          <cell r="I1229">
            <v>0.12</v>
          </cell>
          <cell r="J1229">
            <v>24864060</v>
          </cell>
          <cell r="K1229">
            <v>0.1</v>
          </cell>
          <cell r="L1229">
            <v>24311525</v>
          </cell>
        </row>
        <row r="1230">
          <cell r="C1230">
            <v>8010037069</v>
          </cell>
          <cell r="D1230" t="str">
            <v>给水用聚乙烯HDPE直管(1.6MPa)黑色 dn560 6M(IDN)</v>
          </cell>
          <cell r="E1230" t="str">
            <v>Pipa HDPE Polyethylene untuk Suplai Air (1.6 MPa) Warna Hitam dn560 6M(IDN)</v>
          </cell>
          <cell r="F1230">
            <v>1</v>
          </cell>
          <cell r="G1230">
            <v>25124702</v>
          </cell>
          <cell r="H1230">
            <v>22634867</v>
          </cell>
          <cell r="I1230">
            <v>0.12</v>
          </cell>
          <cell r="J1230">
            <v>25721440</v>
          </cell>
          <cell r="K1230">
            <v>0.1</v>
          </cell>
          <cell r="L1230">
            <v>25149853</v>
          </cell>
        </row>
        <row r="1231">
          <cell r="C1231">
            <v>8010037070</v>
          </cell>
          <cell r="D1231" t="str">
            <v>给水用聚乙烯HDPE直管(1.6MPa)黑色 dn560 11.8M(IDN)</v>
          </cell>
          <cell r="E1231" t="str">
            <v>Pipa HDPE Polyethylene untuk Suplai Air (1.6 MPa) Warna Hitam dn560 11.8M(IDN)</v>
          </cell>
          <cell r="F1231">
            <v>1</v>
          </cell>
          <cell r="G1231">
            <v>49411914</v>
          </cell>
          <cell r="H1231">
            <v>44515238</v>
          </cell>
          <cell r="I1231">
            <v>0.12</v>
          </cell>
          <cell r="J1231">
            <v>50585498</v>
          </cell>
          <cell r="K1231">
            <v>0.1</v>
          </cell>
          <cell r="L1231">
            <v>49461376</v>
          </cell>
        </row>
        <row r="1232">
          <cell r="C1232">
            <v>8010037071</v>
          </cell>
          <cell r="D1232" t="str">
            <v>给水用聚乙烯HDPE直管(1.6MPa)黑色 dn560 12M(IDN)</v>
          </cell>
          <cell r="E1232" t="str">
            <v>Pipa HDPE Polyethylene untuk Suplai Air (1.6 MPa) Warna Hitam dn560 12M(IDN)</v>
          </cell>
          <cell r="F1232">
            <v>1</v>
          </cell>
          <cell r="G1232">
            <v>50249404</v>
          </cell>
          <cell r="H1232">
            <v>45269734</v>
          </cell>
          <cell r="I1232">
            <v>0.12</v>
          </cell>
          <cell r="J1232">
            <v>51442880</v>
          </cell>
          <cell r="K1232">
            <v>0.1</v>
          </cell>
          <cell r="L1232">
            <v>50299705</v>
          </cell>
        </row>
        <row r="1233">
          <cell r="C1233">
            <v>8010037092</v>
          </cell>
          <cell r="D1233" t="str">
            <v>给水用聚乙烯HDPE直管(1.6MPa)黑色 dn630 5.8M(IDN)</v>
          </cell>
          <cell r="E1233" t="str">
            <v>Pipa HDPE Polyethylene untuk Suplai Air (1.6 MPa) Warna Hitam dn630 5.8M(IDN)</v>
          </cell>
          <cell r="F1233">
            <v>1</v>
          </cell>
          <cell r="G1233">
            <v>30772123</v>
          </cell>
          <cell r="H1233">
            <v>27722634</v>
          </cell>
          <cell r="I1233">
            <v>0.12</v>
          </cell>
          <cell r="J1233">
            <v>31502994</v>
          </cell>
          <cell r="K1233">
            <v>0.1</v>
          </cell>
          <cell r="L1233">
            <v>30802927</v>
          </cell>
        </row>
        <row r="1234">
          <cell r="C1234">
            <v>8010037093</v>
          </cell>
          <cell r="D1234" t="str">
            <v>给水用聚乙烯HDPE直管(1.6MPa)黑色 dn630 6M(IDN)</v>
          </cell>
          <cell r="E1234" t="str">
            <v>Pipa HDPE Polyethylene untuk Suplai Air (1.6 MPa) Warna Hitam dn630 6M(IDN)</v>
          </cell>
          <cell r="F1234">
            <v>1</v>
          </cell>
          <cell r="G1234">
            <v>31833231</v>
          </cell>
          <cell r="H1234">
            <v>28678587</v>
          </cell>
          <cell r="I1234">
            <v>0.12</v>
          </cell>
          <cell r="J1234">
            <v>32589304</v>
          </cell>
          <cell r="K1234">
            <v>0.1</v>
          </cell>
          <cell r="L1234">
            <v>31865097</v>
          </cell>
        </row>
        <row r="1235">
          <cell r="C1235">
            <v>8010037094</v>
          </cell>
          <cell r="D1235" t="str">
            <v>给水用聚乙烯HDPE直管(1.6MPa)黑色 dn630 11.8M(IDN)</v>
          </cell>
          <cell r="E1235" t="str">
            <v>Pipa HDPE Polyethylene untuk Suplai Air (1.6 MPa) Warna Hitam dn630 11.8M(IDN)</v>
          </cell>
          <cell r="F1235">
            <v>1</v>
          </cell>
          <cell r="G1235">
            <v>62605354</v>
          </cell>
          <cell r="H1235">
            <v>56401220</v>
          </cell>
          <cell r="I1235">
            <v>0.12</v>
          </cell>
          <cell r="J1235">
            <v>64092296</v>
          </cell>
          <cell r="K1235">
            <v>0.1</v>
          </cell>
          <cell r="L1235">
            <v>62668023</v>
          </cell>
        </row>
        <row r="1236">
          <cell r="C1236">
            <v>8010037095</v>
          </cell>
          <cell r="D1236" t="str">
            <v>给水用聚乙烯HDPE直管(1.6MPa)黑色 dn630 12M(IDN)</v>
          </cell>
          <cell r="E1236" t="str">
            <v>Pipa HDPE Polyethylene untuk Suplai Air (1.6 MPa) Warna Hitam dn630 12M(IDN)</v>
          </cell>
          <cell r="F1236">
            <v>1</v>
          </cell>
          <cell r="G1236">
            <v>63666462</v>
          </cell>
          <cell r="H1236">
            <v>57357173</v>
          </cell>
          <cell r="I1236">
            <v>0.12</v>
          </cell>
          <cell r="J1236">
            <v>65178606</v>
          </cell>
          <cell r="K1236">
            <v>0.1</v>
          </cell>
          <cell r="L1236">
            <v>63730193</v>
          </cell>
        </row>
        <row r="1237">
          <cell r="C1237">
            <v>8010037117</v>
          </cell>
          <cell r="D1237" t="str">
            <v>给水用聚乙烯HDPE直管(1.6MPa)黑色 dn710 6M(IDN)</v>
          </cell>
          <cell r="E1237" t="str">
            <v>Pipa HDPE Polyethylene untuk Suplai Air (1.6 MPa) Warna Hitam dn710 6M(IDN)</v>
          </cell>
          <cell r="F1237">
            <v>1</v>
          </cell>
          <cell r="G1237">
            <v>40503897</v>
          </cell>
          <cell r="H1237">
            <v>36489998</v>
          </cell>
          <cell r="I1237">
            <v>0.12</v>
          </cell>
          <cell r="J1237">
            <v>41465907</v>
          </cell>
          <cell r="K1237">
            <v>0.1</v>
          </cell>
          <cell r="L1237">
            <v>40544443</v>
          </cell>
        </row>
        <row r="1238">
          <cell r="C1238">
            <v>8010037118</v>
          </cell>
          <cell r="D1238" t="str">
            <v>给水用聚乙烯HDPE直管(1.6MPa)黑色 dn710 11.8M(IDN)</v>
          </cell>
          <cell r="E1238" t="str">
            <v>Pipa HDPE Polyethylene untuk Suplai Air (1.6 MPa) Warna Hitam dn710 11.8M(IDN)</v>
          </cell>
          <cell r="F1238">
            <v>1</v>
          </cell>
          <cell r="G1238">
            <v>79657685</v>
          </cell>
          <cell r="H1238">
            <v>71763681</v>
          </cell>
          <cell r="I1238">
            <v>0.12</v>
          </cell>
          <cell r="J1238">
            <v>81549638</v>
          </cell>
          <cell r="K1238">
            <v>0.1</v>
          </cell>
          <cell r="L1238">
            <v>79737424</v>
          </cell>
        </row>
        <row r="1239">
          <cell r="C1239">
            <v>8010037119</v>
          </cell>
          <cell r="D1239" t="str">
            <v>给水用聚乙烯HDPE直管(1.6MPa)黑色 dn710 12M(IDN)</v>
          </cell>
          <cell r="E1239" t="str">
            <v>Pipa HDPE Polyethylene untuk Suplai Air (1.6 MPa) Warna Hitam dn710 12M(IDN)</v>
          </cell>
          <cell r="F1239">
            <v>1</v>
          </cell>
          <cell r="G1239">
            <v>81007795</v>
          </cell>
          <cell r="H1239">
            <v>72979996</v>
          </cell>
          <cell r="I1239">
            <v>0.12</v>
          </cell>
          <cell r="J1239">
            <v>82931814</v>
          </cell>
          <cell r="K1239">
            <v>0.1</v>
          </cell>
          <cell r="L1239">
            <v>81088885</v>
          </cell>
        </row>
        <row r="1240">
          <cell r="C1240">
            <v>8010037140</v>
          </cell>
          <cell r="D1240" t="str">
            <v>给水用聚乙烯HDPE直管(1.6MPa)黑色 dn800 5.8M(IDN)</v>
          </cell>
          <cell r="E1240" t="str">
            <v>Pipa HDPE Polyethylene untuk Suplai Air (1.6 MPa) Warna Hitam dn800 5.8M(IDN)</v>
          </cell>
          <cell r="F1240">
            <v>1</v>
          </cell>
          <cell r="G1240">
            <v>49181020</v>
          </cell>
          <cell r="H1240">
            <v>44307226</v>
          </cell>
          <cell r="I1240">
            <v>0.12</v>
          </cell>
          <cell r="J1240">
            <v>50349121</v>
          </cell>
          <cell r="K1240">
            <v>0.1</v>
          </cell>
          <cell r="L1240">
            <v>49230252</v>
          </cell>
        </row>
        <row r="1241">
          <cell r="C1241">
            <v>8010037141</v>
          </cell>
          <cell r="D1241" t="str">
            <v>给水用聚乙烯HDPE直管(1.6MPa)黑色 dn800 6M(IDN)</v>
          </cell>
          <cell r="E1241" t="str">
            <v>Pipa HDPE Polyethylene untuk Suplai Air (1.6 MPa) Warna Hitam dn800 6M(IDN)</v>
          </cell>
          <cell r="F1241">
            <v>1</v>
          </cell>
          <cell r="G1241">
            <v>50876907</v>
          </cell>
          <cell r="H1241">
            <v>45835052</v>
          </cell>
          <cell r="I1241">
            <v>0.12</v>
          </cell>
          <cell r="J1241">
            <v>52085287</v>
          </cell>
          <cell r="K1241">
            <v>0.1</v>
          </cell>
          <cell r="L1241">
            <v>50927836</v>
          </cell>
        </row>
        <row r="1242">
          <cell r="C1242">
            <v>8010037142</v>
          </cell>
          <cell r="D1242" t="str">
            <v>给水用聚乙烯HDPE直管(1.6MPa)黑色 dn800 11.8M(IDN)</v>
          </cell>
          <cell r="E1242" t="str">
            <v>Pipa HDPE Polyethylene untuk Suplai Air (1.6 MPa) Warna Hitam dn800 11.8M(IDN)</v>
          </cell>
          <cell r="F1242">
            <v>1</v>
          </cell>
          <cell r="G1242">
            <v>100057927</v>
          </cell>
          <cell r="H1242">
            <v>90142277</v>
          </cell>
          <cell r="I1242">
            <v>0.12</v>
          </cell>
          <cell r="J1242">
            <v>102434406</v>
          </cell>
          <cell r="K1242">
            <v>0.1</v>
          </cell>
          <cell r="L1242">
            <v>100158086</v>
          </cell>
        </row>
        <row r="1243">
          <cell r="C1243">
            <v>8010037143</v>
          </cell>
          <cell r="D1243" t="str">
            <v>给水用聚乙烯HDPE直管(1.6MPa)黑色 dn800 12M(IDN)</v>
          </cell>
          <cell r="E1243" t="str">
            <v>Pipa HDPE Polyethylene untuk Suplai Air (1.6 MPa) Warna Hitam dn800 12M(IDN)</v>
          </cell>
          <cell r="F1243">
            <v>1</v>
          </cell>
          <cell r="G1243">
            <v>101753813</v>
          </cell>
          <cell r="H1243">
            <v>91670102</v>
          </cell>
          <cell r="I1243">
            <v>0.12</v>
          </cell>
          <cell r="J1243">
            <v>104170571</v>
          </cell>
          <cell r="K1243">
            <v>0.1</v>
          </cell>
          <cell r="L1243">
            <v>101855669</v>
          </cell>
        </row>
        <row r="1244">
          <cell r="C1244">
            <v>8010037179</v>
          </cell>
          <cell r="D1244" t="str">
            <v>给水用聚乙烯HDPE直管(1.6MPa)黑色 dn710 5.8M(IDN)</v>
          </cell>
          <cell r="E1244" t="str">
            <v>Pipa HDPE Polyethylene untuk Suplai Air (1.6 MPa) Warna Hitam dn710 5.8M(IDN)</v>
          </cell>
          <cell r="F1244">
            <v>1</v>
          </cell>
          <cell r="G1244">
            <v>39153788</v>
          </cell>
          <cell r="H1244">
            <v>35273683</v>
          </cell>
          <cell r="I1244">
            <v>0.12</v>
          </cell>
          <cell r="J1244">
            <v>40083731</v>
          </cell>
          <cell r="K1244">
            <v>0.1</v>
          </cell>
          <cell r="L1244">
            <v>39192982</v>
          </cell>
        </row>
        <row r="1245">
          <cell r="C1245">
            <v>8010046179</v>
          </cell>
          <cell r="D1245" t="str">
            <v>新型电熔套管(PE配件)1.6MPa黑色 dn50</v>
          </cell>
          <cell r="E1245" t="str">
            <v>HDPE Electro-fusion Coupler (1.6MPa) dn50 Black</v>
          </cell>
          <cell r="F1245">
            <v>1</v>
          </cell>
          <cell r="G1245">
            <v>30317</v>
          </cell>
          <cell r="H1245">
            <v>27313</v>
          </cell>
          <cell r="I1245">
            <v>0.15</v>
          </cell>
          <cell r="J1245">
            <v>32133</v>
          </cell>
          <cell r="K1245">
            <v>0.14</v>
          </cell>
          <cell r="L1245">
            <v>31760</v>
          </cell>
        </row>
        <row r="1246">
          <cell r="C1246">
            <v>8010045560</v>
          </cell>
          <cell r="D1246" t="str">
            <v>新型电熔套管(PE配件)1.6MPa黑色 dn250</v>
          </cell>
          <cell r="E1246" t="str">
            <v>HDPE Electro-fusion Coupler (1.6MPa) dn250 Black</v>
          </cell>
          <cell r="F1246">
            <v>1</v>
          </cell>
          <cell r="G1246">
            <v>469652</v>
          </cell>
          <cell r="H1246">
            <v>423110</v>
          </cell>
          <cell r="I1246">
            <v>0.15</v>
          </cell>
          <cell r="J1246">
            <v>497777</v>
          </cell>
          <cell r="K1246">
            <v>0.14</v>
          </cell>
          <cell r="L1246">
            <v>491989</v>
          </cell>
        </row>
        <row r="1247">
          <cell r="C1247">
            <v>8010045561</v>
          </cell>
          <cell r="D1247" t="str">
            <v>新型电熔套管(PE配件)1.6MPa黑色 dn315</v>
          </cell>
          <cell r="E1247" t="str">
            <v>HDPE Electro-fusion Coupler (1.6MPa) dn315 Black</v>
          </cell>
          <cell r="F1247">
            <v>1</v>
          </cell>
          <cell r="G1247">
            <v>837460</v>
          </cell>
          <cell r="H1247">
            <v>754469</v>
          </cell>
          <cell r="I1247">
            <v>0.15</v>
          </cell>
          <cell r="J1247">
            <v>887611</v>
          </cell>
          <cell r="K1247">
            <v>0.14</v>
          </cell>
          <cell r="L1247">
            <v>877290</v>
          </cell>
        </row>
        <row r="1248">
          <cell r="C1248">
            <v>8010045492</v>
          </cell>
          <cell r="D1248" t="str">
            <v>新型电熔套管(PE配件)1.6MPa黑色 dn63</v>
          </cell>
          <cell r="E1248" t="str">
            <v>HDPE Electro-fusion Coupler (1.6MPa) dn63 Black</v>
          </cell>
          <cell r="F1248">
            <v>1</v>
          </cell>
          <cell r="G1248">
            <v>31225</v>
          </cell>
          <cell r="H1248">
            <v>28131</v>
          </cell>
          <cell r="I1248">
            <v>0.15</v>
          </cell>
          <cell r="J1248">
            <v>33096</v>
          </cell>
          <cell r="K1248">
            <v>0.14</v>
          </cell>
          <cell r="L1248">
            <v>32711</v>
          </cell>
        </row>
        <row r="1249">
          <cell r="C1249">
            <v>8010045493</v>
          </cell>
          <cell r="D1249" t="str">
            <v>新型电熔套管(PE配件)1.6MPa黑色 dn75</v>
          </cell>
          <cell r="E1249" t="str">
            <v>HDPE Electro-fusion Coupler (1.6MPa) dn75 Black</v>
          </cell>
          <cell r="F1249">
            <v>1</v>
          </cell>
          <cell r="G1249">
            <v>33610</v>
          </cell>
          <cell r="H1249">
            <v>30280</v>
          </cell>
          <cell r="I1249">
            <v>0.15</v>
          </cell>
          <cell r="J1249">
            <v>35624</v>
          </cell>
          <cell r="K1249">
            <v>0.14</v>
          </cell>
          <cell r="L1249">
            <v>35210</v>
          </cell>
        </row>
        <row r="1250">
          <cell r="C1250">
            <v>8010044891</v>
          </cell>
          <cell r="D1250" t="str">
            <v>新型电熔套管(PE配件)1.6MPa黑色 dn90</v>
          </cell>
          <cell r="E1250" t="str">
            <v>HDPE Electro-fusion Coupler (1.6MPa) dn90 Black</v>
          </cell>
          <cell r="F1250">
            <v>1</v>
          </cell>
          <cell r="G1250">
            <v>48154</v>
          </cell>
          <cell r="H1250">
            <v>43382</v>
          </cell>
          <cell r="I1250">
            <v>0.15</v>
          </cell>
          <cell r="J1250">
            <v>51038</v>
          </cell>
          <cell r="K1250">
            <v>0.14</v>
          </cell>
          <cell r="L1250">
            <v>50445</v>
          </cell>
        </row>
        <row r="1251">
          <cell r="C1251">
            <v>8010044821</v>
          </cell>
          <cell r="D1251" t="str">
            <v>新型电熔套管(PE配件)1.6MPa黑色 dn110</v>
          </cell>
          <cell r="E1251" t="str">
            <v>HDPE Electro-fusion Coupler (1.6MPa) dn110 Black</v>
          </cell>
          <cell r="F1251">
            <v>1</v>
          </cell>
          <cell r="G1251">
            <v>64915</v>
          </cell>
          <cell r="H1251">
            <v>58482</v>
          </cell>
          <cell r="I1251">
            <v>0.15</v>
          </cell>
          <cell r="J1251">
            <v>68803</v>
          </cell>
          <cell r="K1251">
            <v>0.14</v>
          </cell>
          <cell r="L1251">
            <v>68003</v>
          </cell>
        </row>
        <row r="1252">
          <cell r="C1252">
            <v>8010044825</v>
          </cell>
          <cell r="D1252" t="str">
            <v>新型电熔套管(PE配件)1.6MPa黑色 dn200</v>
          </cell>
          <cell r="E1252" t="str">
            <v>HDPE Electro-fusion Coupler (1.6MPa) dn200 Black</v>
          </cell>
          <cell r="F1252">
            <v>1</v>
          </cell>
          <cell r="G1252">
            <v>260319</v>
          </cell>
          <cell r="H1252">
            <v>234522</v>
          </cell>
          <cell r="I1252">
            <v>0.15</v>
          </cell>
          <cell r="J1252">
            <v>275909</v>
          </cell>
          <cell r="K1252">
            <v>0.14</v>
          </cell>
          <cell r="L1252">
            <v>272700</v>
          </cell>
        </row>
        <row r="1253">
          <cell r="C1253">
            <v>8010044468</v>
          </cell>
          <cell r="D1253" t="str">
            <v>新型电熔套管(PE配件)1.6MPa黑色 dn160</v>
          </cell>
          <cell r="E1253" t="str">
            <v>HDPE Electro-fusion Coupler (1.6MPa) dn160 Black</v>
          </cell>
          <cell r="F1253">
            <v>1</v>
          </cell>
          <cell r="G1253">
            <v>124685</v>
          </cell>
          <cell r="H1253">
            <v>112329</v>
          </cell>
          <cell r="I1253">
            <v>0.15</v>
          </cell>
          <cell r="J1253">
            <v>132152</v>
          </cell>
          <cell r="K1253">
            <v>0.14</v>
          </cell>
          <cell r="L1253">
            <v>130616</v>
          </cell>
        </row>
        <row r="1254">
          <cell r="C1254">
            <v>8010046195</v>
          </cell>
          <cell r="D1254" t="str">
            <v>45°新型电熔弯头(PE配件)1.6MPa黑色 dn200</v>
          </cell>
          <cell r="E1254" t="str">
            <v>HDPE Electro-fusion 45° Elbow (1.6MPa) dn200 Black</v>
          </cell>
          <cell r="F1254">
            <v>1</v>
          </cell>
          <cell r="G1254">
            <v>386392</v>
          </cell>
          <cell r="H1254">
            <v>348101</v>
          </cell>
          <cell r="I1254">
            <v>0.15</v>
          </cell>
          <cell r="J1254">
            <v>409531</v>
          </cell>
          <cell r="K1254">
            <v>0.14</v>
          </cell>
          <cell r="L1254">
            <v>404769</v>
          </cell>
        </row>
        <row r="1255">
          <cell r="C1255">
            <v>8010045597</v>
          </cell>
          <cell r="D1255" t="str">
            <v>45°新型电熔弯头(PE配件)1.6MPa黑色 dn160</v>
          </cell>
          <cell r="E1255" t="str">
            <v>HDPE Electro-fusion 45° Elbow (1.6MPa) dn160 Black</v>
          </cell>
          <cell r="F1255">
            <v>1</v>
          </cell>
          <cell r="G1255">
            <v>216944</v>
          </cell>
          <cell r="H1255">
            <v>195446</v>
          </cell>
          <cell r="I1255">
            <v>0.15</v>
          </cell>
          <cell r="J1255">
            <v>229937</v>
          </cell>
          <cell r="K1255">
            <v>0.14</v>
          </cell>
          <cell r="L1255">
            <v>227263</v>
          </cell>
        </row>
        <row r="1256">
          <cell r="C1256">
            <v>8010044959</v>
          </cell>
          <cell r="D1256" t="str">
            <v>45°电熔弯头(PE配件)1.6MPa黑色 dn225</v>
          </cell>
          <cell r="E1256" t="str">
            <v>HDPE Electro-fusion 45° Elbow (1.6MPa) dn225 Black</v>
          </cell>
          <cell r="F1256">
            <v>1</v>
          </cell>
          <cell r="G1256">
            <v>488629</v>
          </cell>
          <cell r="H1256">
            <v>440207</v>
          </cell>
          <cell r="I1256">
            <v>0.15</v>
          </cell>
          <cell r="J1256">
            <v>517891</v>
          </cell>
          <cell r="K1256">
            <v>0.14</v>
          </cell>
          <cell r="L1256">
            <v>511869</v>
          </cell>
        </row>
        <row r="1257">
          <cell r="C1257">
            <v>8010040355</v>
          </cell>
          <cell r="D1257" t="str">
            <v>45°电熔弯头(PE配件)1.6MPa黑色 dn110</v>
          </cell>
          <cell r="E1257" t="str">
            <v>HDPE Electro-fusion 45° Elbow (1.6MPa) dn110 Black</v>
          </cell>
          <cell r="F1257">
            <v>1</v>
          </cell>
          <cell r="G1257">
            <v>91235</v>
          </cell>
          <cell r="H1257">
            <v>82194</v>
          </cell>
          <cell r="I1257">
            <v>0.15</v>
          </cell>
          <cell r="J1257">
            <v>96699</v>
          </cell>
          <cell r="K1257">
            <v>0.14</v>
          </cell>
          <cell r="L1257">
            <v>95575</v>
          </cell>
        </row>
        <row r="1258">
          <cell r="C1258">
            <v>8010040356</v>
          </cell>
          <cell r="D1258" t="str">
            <v>45°电熔弯头(PE配件)1.6MPa黑色 dn125</v>
          </cell>
          <cell r="E1258" t="str">
            <v>HDPE Electro-fusion 45° Elbow (1.6MPa) dn125 Black</v>
          </cell>
          <cell r="F1258">
            <v>1</v>
          </cell>
          <cell r="G1258">
            <v>113710</v>
          </cell>
          <cell r="H1258">
            <v>102442</v>
          </cell>
          <cell r="I1258">
            <v>0.15</v>
          </cell>
          <cell r="J1258">
            <v>120520</v>
          </cell>
          <cell r="K1258">
            <v>0.14</v>
          </cell>
          <cell r="L1258">
            <v>119119</v>
          </cell>
        </row>
        <row r="1259">
          <cell r="C1259">
            <v>8010040358</v>
          </cell>
          <cell r="D1259" t="str">
            <v>45°电熔弯头(PE配件)1.6MPa黑色 dn180</v>
          </cell>
          <cell r="E1259" t="str">
            <v>HDPE Electro-fusion 45° Elbow (1.6MPa) dn180 Black</v>
          </cell>
          <cell r="F1259">
            <v>1</v>
          </cell>
          <cell r="G1259">
            <v>300364</v>
          </cell>
          <cell r="H1259">
            <v>270599</v>
          </cell>
          <cell r="I1259">
            <v>0.15</v>
          </cell>
          <cell r="J1259">
            <v>318352</v>
          </cell>
          <cell r="K1259">
            <v>0.14</v>
          </cell>
          <cell r="L1259">
            <v>314650</v>
          </cell>
        </row>
        <row r="1260">
          <cell r="C1260">
            <v>8010040360</v>
          </cell>
          <cell r="D1260" t="str">
            <v>45°电熔弯头(PE配件)1.6MPa黑色 dn250</v>
          </cell>
          <cell r="E1260" t="str">
            <v>HDPE Electro-fusion 45° Elbow (1.6MPa) dn250 Black</v>
          </cell>
          <cell r="F1260">
            <v>1</v>
          </cell>
          <cell r="G1260">
            <v>667183</v>
          </cell>
          <cell r="H1260">
            <v>601066</v>
          </cell>
          <cell r="I1260">
            <v>0.15</v>
          </cell>
          <cell r="J1260">
            <v>707137</v>
          </cell>
          <cell r="K1260">
            <v>0.14</v>
          </cell>
          <cell r="L1260">
            <v>698914</v>
          </cell>
        </row>
        <row r="1261">
          <cell r="C1261">
            <v>8010040361</v>
          </cell>
          <cell r="D1261" t="str">
            <v>45°电熔弯头(PE配件)1.6MPa黑色 dn315</v>
          </cell>
          <cell r="E1261" t="str">
            <v>HDPE Electro-fusion 45° Elbow (1.6MPa) dn315 Black</v>
          </cell>
          <cell r="F1261">
            <v>1</v>
          </cell>
          <cell r="G1261">
            <v>1137735</v>
          </cell>
          <cell r="H1261">
            <v>1024987</v>
          </cell>
          <cell r="I1261">
            <v>0.15</v>
          </cell>
          <cell r="J1261">
            <v>1205868</v>
          </cell>
          <cell r="K1261">
            <v>0.14</v>
          </cell>
          <cell r="L1261">
            <v>1191846</v>
          </cell>
        </row>
        <row r="1262">
          <cell r="C1262">
            <v>8010040362</v>
          </cell>
          <cell r="D1262" t="str">
            <v>45°电熔弯头(PE配件)1.6MPa黑色 dn32</v>
          </cell>
          <cell r="E1262" t="str">
            <v>HDPE Electro-fusion 45° Elbow (1.6MPa) dn32 Black</v>
          </cell>
          <cell r="F1262">
            <v>1</v>
          </cell>
          <cell r="G1262">
            <v>15835</v>
          </cell>
          <cell r="H1262">
            <v>14266</v>
          </cell>
          <cell r="I1262">
            <v>0.15</v>
          </cell>
          <cell r="J1262">
            <v>16784</v>
          </cell>
          <cell r="K1262">
            <v>0.14</v>
          </cell>
          <cell r="L1262">
            <v>16589</v>
          </cell>
        </row>
        <row r="1263">
          <cell r="C1263">
            <v>8010040363</v>
          </cell>
          <cell r="D1263" t="str">
            <v>45°电熔弯头(PE配件)1.6MPa黑色 dn40</v>
          </cell>
          <cell r="E1263" t="str">
            <v>HDPE Electro-fusion 45° Elbow (1.6MPa) dn40 Black</v>
          </cell>
          <cell r="F1263">
            <v>1</v>
          </cell>
          <cell r="G1263">
            <v>23410</v>
          </cell>
          <cell r="H1263">
            <v>21091</v>
          </cell>
          <cell r="I1263">
            <v>0.15</v>
          </cell>
          <cell r="J1263">
            <v>24813</v>
          </cell>
          <cell r="K1263">
            <v>0.14</v>
          </cell>
          <cell r="L1263">
            <v>24525</v>
          </cell>
        </row>
        <row r="1264">
          <cell r="C1264">
            <v>8010040364</v>
          </cell>
          <cell r="D1264" t="str">
            <v>45°电熔弯头(PE配件)1.6MPa黑色 dn400</v>
          </cell>
          <cell r="E1264" t="str">
            <v>HDPE Electro-fusion 45° Elbow (1.6MPa) dn400 Black</v>
          </cell>
          <cell r="F1264">
            <v>1</v>
          </cell>
          <cell r="G1264">
            <v>2140530</v>
          </cell>
          <cell r="H1264">
            <v>1928406</v>
          </cell>
          <cell r="I1264">
            <v>0.15</v>
          </cell>
          <cell r="J1264">
            <v>2268713</v>
          </cell>
          <cell r="K1264">
            <v>0.14</v>
          </cell>
          <cell r="L1264">
            <v>2242333</v>
          </cell>
        </row>
        <row r="1265">
          <cell r="C1265">
            <v>8010040365</v>
          </cell>
          <cell r="D1265" t="str">
            <v>45°电熔弯头(PE配件)1.6MPa黑色 dn50</v>
          </cell>
          <cell r="E1265" t="str">
            <v>HDPE Electro-fusion 45° Elbow (1.6MPa) dn50 Black</v>
          </cell>
          <cell r="F1265">
            <v>1</v>
          </cell>
          <cell r="G1265">
            <v>32818</v>
          </cell>
          <cell r="H1265">
            <v>29566</v>
          </cell>
          <cell r="I1265">
            <v>0.15</v>
          </cell>
          <cell r="J1265">
            <v>34784</v>
          </cell>
          <cell r="K1265">
            <v>0.14</v>
          </cell>
          <cell r="L1265">
            <v>34380</v>
          </cell>
        </row>
        <row r="1266">
          <cell r="C1266">
            <v>8010040366</v>
          </cell>
          <cell r="D1266" t="str">
            <v>45°电熔弯头(PE配件)1.6MPa黑色 dn63</v>
          </cell>
          <cell r="E1266" t="str">
            <v>HDPE Electro-fusion 45° Elbow (1.6MPa) dn63 Black</v>
          </cell>
          <cell r="F1266">
            <v>1</v>
          </cell>
          <cell r="G1266">
            <v>35737</v>
          </cell>
          <cell r="H1266">
            <v>32196</v>
          </cell>
          <cell r="I1266">
            <v>0.15</v>
          </cell>
          <cell r="J1266">
            <v>37878</v>
          </cell>
          <cell r="K1266">
            <v>0.14</v>
          </cell>
          <cell r="L1266">
            <v>37438</v>
          </cell>
        </row>
        <row r="1267">
          <cell r="C1267">
            <v>8010040367</v>
          </cell>
          <cell r="D1267" t="str">
            <v>45°电熔弯头(PE配件)1.6MPa黑色 dn75</v>
          </cell>
          <cell r="E1267" t="str">
            <v>HDPE Electro-fusion 45° Elbow (1.6MPa) dn75 Black</v>
          </cell>
          <cell r="F1267">
            <v>1</v>
          </cell>
          <cell r="G1267">
            <v>45351</v>
          </cell>
          <cell r="H1267">
            <v>40857</v>
          </cell>
          <cell r="I1267">
            <v>0.15</v>
          </cell>
          <cell r="J1267">
            <v>48068</v>
          </cell>
          <cell r="K1267">
            <v>0.14</v>
          </cell>
          <cell r="L1267">
            <v>47509</v>
          </cell>
        </row>
        <row r="1268">
          <cell r="C1268">
            <v>8010040368</v>
          </cell>
          <cell r="D1268" t="str">
            <v>45°电熔弯头(PE配件)1.6MPa黑色 dn90</v>
          </cell>
          <cell r="E1268" t="str">
            <v>HDPE Electro-fusion 45° Elbow (1.6MPa) dn90 Black</v>
          </cell>
          <cell r="F1268">
            <v>1</v>
          </cell>
          <cell r="G1268">
            <v>59236</v>
          </cell>
          <cell r="H1268">
            <v>53366</v>
          </cell>
          <cell r="I1268">
            <v>0.15</v>
          </cell>
          <cell r="J1268">
            <v>62784</v>
          </cell>
          <cell r="K1268">
            <v>0.14</v>
          </cell>
          <cell r="L1268">
            <v>62054</v>
          </cell>
        </row>
        <row r="1269">
          <cell r="C1269">
            <v>8010045960</v>
          </cell>
          <cell r="D1269" t="str">
            <v>90°新型电熔弯头(PE配件)1.6MPa黑色 dn75</v>
          </cell>
          <cell r="E1269" t="str">
            <v>HDPE Electro-fusion 90° Elbow (1.6MPa) dn75 Black</v>
          </cell>
          <cell r="F1269">
            <v>1</v>
          </cell>
          <cell r="G1269">
            <v>47086</v>
          </cell>
          <cell r="H1269">
            <v>42420</v>
          </cell>
          <cell r="I1269">
            <v>0.15</v>
          </cell>
          <cell r="J1269">
            <v>49906</v>
          </cell>
          <cell r="K1269">
            <v>0.14</v>
          </cell>
          <cell r="L1269">
            <v>49326</v>
          </cell>
        </row>
        <row r="1270">
          <cell r="C1270">
            <v>8010045836</v>
          </cell>
          <cell r="D1270" t="str">
            <v>90°新型电熔弯头(PE配件)1.6MPa黑色 dn200</v>
          </cell>
          <cell r="E1270" t="str">
            <v>HDPE Electro-fusion 90° Elbow (1.6MPa) dn200 Black</v>
          </cell>
          <cell r="F1270">
            <v>1</v>
          </cell>
          <cell r="G1270">
            <v>453613</v>
          </cell>
          <cell r="H1270">
            <v>408661</v>
          </cell>
          <cell r="I1270">
            <v>0.15</v>
          </cell>
          <cell r="J1270">
            <v>480778</v>
          </cell>
          <cell r="K1270">
            <v>0.14</v>
          </cell>
          <cell r="L1270">
            <v>475188</v>
          </cell>
        </row>
        <row r="1271">
          <cell r="C1271">
            <v>8010045837</v>
          </cell>
          <cell r="D1271" t="str">
            <v>90°新型电熔弯头(PE配件)1.6MPa黑色 dn250</v>
          </cell>
          <cell r="E1271" t="str">
            <v>HDPE Electro-fusion 90° Elbow (1.6MPa) dn250 Black</v>
          </cell>
          <cell r="F1271">
            <v>1</v>
          </cell>
          <cell r="G1271">
            <v>751556</v>
          </cell>
          <cell r="H1271">
            <v>677078</v>
          </cell>
          <cell r="I1271">
            <v>0.15</v>
          </cell>
          <cell r="J1271">
            <v>796563</v>
          </cell>
          <cell r="K1271">
            <v>0.14</v>
          </cell>
          <cell r="L1271">
            <v>787300</v>
          </cell>
        </row>
        <row r="1272">
          <cell r="C1272">
            <v>8010045967</v>
          </cell>
          <cell r="D1272" t="str">
            <v>90°新型电熔弯头(PE配件)1.6MPa黑色 dn63</v>
          </cell>
          <cell r="E1272" t="str">
            <v>HDPE Electro-fusion 90° Elbow (1.6MPa) dn63 Black</v>
          </cell>
          <cell r="F1272">
            <v>1</v>
          </cell>
          <cell r="G1272">
            <v>32836</v>
          </cell>
          <cell r="H1272">
            <v>29582</v>
          </cell>
          <cell r="I1272">
            <v>0.15</v>
          </cell>
          <cell r="J1272">
            <v>34803</v>
          </cell>
          <cell r="K1272">
            <v>0.14</v>
          </cell>
          <cell r="L1272">
            <v>34398</v>
          </cell>
        </row>
        <row r="1273">
          <cell r="C1273">
            <v>8010045236</v>
          </cell>
          <cell r="D1273" t="str">
            <v>90°新型电熔弯头(PE配件)1.6MPa黑色 dn110</v>
          </cell>
          <cell r="E1273" t="str">
            <v>HDPE Electro-fusion 90° Elbow (1.6MPa) dn110 Black</v>
          </cell>
          <cell r="F1273">
            <v>1</v>
          </cell>
          <cell r="G1273">
            <v>90710</v>
          </cell>
          <cell r="H1273">
            <v>81721</v>
          </cell>
          <cell r="I1273">
            <v>0.15</v>
          </cell>
          <cell r="J1273">
            <v>96143</v>
          </cell>
          <cell r="K1273">
            <v>0.14</v>
          </cell>
          <cell r="L1273">
            <v>95025</v>
          </cell>
        </row>
        <row r="1274">
          <cell r="C1274">
            <v>8010044954</v>
          </cell>
          <cell r="D1274" t="str">
            <v>90°新型电熔弯头(PE配件)1.6MPa黑色 dn160</v>
          </cell>
          <cell r="E1274" t="str">
            <v>HDPE Electro-fusion 90° Elbow (1.6MPa) dn160 Black</v>
          </cell>
          <cell r="F1274">
            <v>1</v>
          </cell>
          <cell r="G1274">
            <v>217318</v>
          </cell>
          <cell r="H1274">
            <v>195782</v>
          </cell>
          <cell r="I1274">
            <v>0.15</v>
          </cell>
          <cell r="J1274">
            <v>230332</v>
          </cell>
          <cell r="K1274">
            <v>0.14</v>
          </cell>
          <cell r="L1274">
            <v>227654</v>
          </cell>
        </row>
        <row r="1275">
          <cell r="C1275">
            <v>8010044643</v>
          </cell>
          <cell r="D1275" t="str">
            <v>90°电熔弯头(PE配件)1.6MPa黑色 dn225</v>
          </cell>
          <cell r="E1275" t="str">
            <v>HDPE Electro-fusion 90° Elbow (1.6MPa) dn225 Black</v>
          </cell>
          <cell r="F1275">
            <v>1</v>
          </cell>
          <cell r="G1275">
            <v>593884</v>
          </cell>
          <cell r="H1275">
            <v>535031</v>
          </cell>
          <cell r="I1275">
            <v>0.15</v>
          </cell>
          <cell r="J1275">
            <v>629449</v>
          </cell>
          <cell r="K1275">
            <v>0.14</v>
          </cell>
          <cell r="L1275">
            <v>622130</v>
          </cell>
        </row>
        <row r="1276">
          <cell r="C1276">
            <v>8010044644</v>
          </cell>
          <cell r="D1276" t="str">
            <v>90°电熔弯头(PE配件)1.6MPa黑色 dn355</v>
          </cell>
          <cell r="E1276" t="str">
            <v>HDPE Electro-fusion 90° Elbow (1.6MPa) dn355 Black</v>
          </cell>
          <cell r="F1276">
            <v>1</v>
          </cell>
          <cell r="G1276">
            <v>2335409</v>
          </cell>
          <cell r="H1276">
            <v>2103973</v>
          </cell>
          <cell r="I1276">
            <v>0.15</v>
          </cell>
          <cell r="J1276">
            <v>2475263</v>
          </cell>
          <cell r="K1276">
            <v>0.14</v>
          </cell>
          <cell r="L1276">
            <v>2446481</v>
          </cell>
        </row>
        <row r="1277">
          <cell r="C1277">
            <v>8010040376</v>
          </cell>
          <cell r="D1277" t="str">
            <v>90°电熔弯头(PE配件)1.6MPa黑色 dn125</v>
          </cell>
          <cell r="E1277" t="str">
            <v>HDPE Electro-fusion 90° Elbow (1.6MPa) dn125 Black</v>
          </cell>
          <cell r="F1277">
            <v>1</v>
          </cell>
          <cell r="G1277">
            <v>127453</v>
          </cell>
          <cell r="H1277">
            <v>114823</v>
          </cell>
          <cell r="I1277">
            <v>0.15</v>
          </cell>
          <cell r="J1277">
            <v>135086</v>
          </cell>
          <cell r="K1277">
            <v>0.14</v>
          </cell>
          <cell r="L1277">
            <v>133516</v>
          </cell>
        </row>
        <row r="1278">
          <cell r="C1278">
            <v>8010040378</v>
          </cell>
          <cell r="D1278" t="str">
            <v>90°电熔弯头(PE配件)1.6MPa黑色 dn180</v>
          </cell>
          <cell r="E1278" t="str">
            <v>HDPE Electro-fusion 90° Elbow (1.6MPa) dn180 Black</v>
          </cell>
          <cell r="F1278">
            <v>1</v>
          </cell>
          <cell r="G1278">
            <v>353352</v>
          </cell>
          <cell r="H1278">
            <v>318336</v>
          </cell>
          <cell r="I1278">
            <v>0.15</v>
          </cell>
          <cell r="J1278">
            <v>374513</v>
          </cell>
          <cell r="K1278">
            <v>0.14</v>
          </cell>
          <cell r="L1278">
            <v>370159</v>
          </cell>
        </row>
        <row r="1279">
          <cell r="C1279">
            <v>8010040379</v>
          </cell>
          <cell r="D1279" t="str">
            <v>90°电熔弯头(PE配件)1.6MPa黑色 dn20</v>
          </cell>
          <cell r="E1279" t="str">
            <v>HDPE Electro-fusion 90° Elbow (1.6MPa) dn20 Black</v>
          </cell>
          <cell r="F1279">
            <v>1</v>
          </cell>
          <cell r="G1279">
            <v>12079</v>
          </cell>
          <cell r="H1279">
            <v>10882</v>
          </cell>
          <cell r="I1279">
            <v>0.15</v>
          </cell>
          <cell r="J1279">
            <v>12803</v>
          </cell>
          <cell r="K1279">
            <v>0.14</v>
          </cell>
          <cell r="L1279">
            <v>12654</v>
          </cell>
        </row>
        <row r="1280">
          <cell r="C1280">
            <v>8010040381</v>
          </cell>
          <cell r="D1280" t="str">
            <v>90°电熔弯头(PE配件)1.6MPa黑色 dn25</v>
          </cell>
          <cell r="E1280" t="str">
            <v>HDPE Electro-fusion 90° Elbow (1.6MPa) dn25 Black</v>
          </cell>
          <cell r="F1280">
            <v>1</v>
          </cell>
          <cell r="G1280">
            <v>12390</v>
          </cell>
          <cell r="H1280">
            <v>11163</v>
          </cell>
          <cell r="I1280">
            <v>0.15</v>
          </cell>
          <cell r="J1280">
            <v>13133</v>
          </cell>
          <cell r="K1280">
            <v>0.14</v>
          </cell>
          <cell r="L1280">
            <v>12981</v>
          </cell>
        </row>
        <row r="1281">
          <cell r="C1281">
            <v>8010040383</v>
          </cell>
          <cell r="D1281" t="str">
            <v>90°电熔弯头(PE配件)1.6MPa黑色 dn315</v>
          </cell>
          <cell r="E1281" t="str">
            <v>HDPE Electro-fusion 90° Elbow (1.6MPa) dn315 Black</v>
          </cell>
          <cell r="F1281">
            <v>1</v>
          </cell>
          <cell r="G1281">
            <v>1366152</v>
          </cell>
          <cell r="H1281">
            <v>1230768</v>
          </cell>
          <cell r="I1281">
            <v>0.15</v>
          </cell>
          <cell r="J1281">
            <v>1447963</v>
          </cell>
          <cell r="K1281">
            <v>0.14</v>
          </cell>
          <cell r="L1281">
            <v>1431126</v>
          </cell>
        </row>
        <row r="1282">
          <cell r="C1282">
            <v>8010040384</v>
          </cell>
          <cell r="D1282" t="str">
            <v>90°电熔弯头(PE配件)1.6MPa黑色 dn32</v>
          </cell>
          <cell r="E1282" t="str">
            <v>HDPE Electro-fusion 90° Elbow (1.6MPa) dn32 Black</v>
          </cell>
          <cell r="F1282">
            <v>1</v>
          </cell>
          <cell r="G1282">
            <v>16031</v>
          </cell>
          <cell r="H1282">
            <v>14443</v>
          </cell>
          <cell r="I1282">
            <v>0.15</v>
          </cell>
          <cell r="J1282">
            <v>16992</v>
          </cell>
          <cell r="K1282">
            <v>0.14</v>
          </cell>
          <cell r="L1282">
            <v>16795</v>
          </cell>
        </row>
        <row r="1283">
          <cell r="C1283">
            <v>8010040385</v>
          </cell>
          <cell r="D1283" t="str">
            <v>90°电熔弯头(PE配件)1.6MPa黑色 dn40</v>
          </cell>
          <cell r="E1283" t="str">
            <v>HDPE Electro-fusion 90° Elbow (1.6MPa) dn40 Black</v>
          </cell>
          <cell r="F1283">
            <v>1</v>
          </cell>
          <cell r="G1283">
            <v>23739</v>
          </cell>
          <cell r="H1283">
            <v>21387</v>
          </cell>
          <cell r="I1283">
            <v>0.15</v>
          </cell>
          <cell r="J1283">
            <v>25162</v>
          </cell>
          <cell r="K1283">
            <v>0.14</v>
          </cell>
          <cell r="L1283">
            <v>24869</v>
          </cell>
        </row>
        <row r="1284">
          <cell r="C1284">
            <v>8010040386</v>
          </cell>
          <cell r="D1284" t="str">
            <v>90°电熔弯头(PE配件)1.6MPa黑色 dn400</v>
          </cell>
          <cell r="E1284" t="str">
            <v>HDPE Electro-fusion 90° Elbow (1.6MPa) dn400 Black</v>
          </cell>
          <cell r="F1284">
            <v>1</v>
          </cell>
          <cell r="G1284">
            <v>2682824</v>
          </cell>
          <cell r="H1284">
            <v>2416959</v>
          </cell>
          <cell r="I1284">
            <v>0.15</v>
          </cell>
          <cell r="J1284">
            <v>2843482</v>
          </cell>
          <cell r="K1284">
            <v>0.14</v>
          </cell>
          <cell r="L1284">
            <v>2810418</v>
          </cell>
        </row>
        <row r="1285">
          <cell r="C1285">
            <v>8010040387</v>
          </cell>
          <cell r="D1285" t="str">
            <v>90°电熔弯头(PE配件)1.6MPa黑色 dn50</v>
          </cell>
          <cell r="E1285" t="str">
            <v>HDPE Electro-fusion 90° Elbow (1.6MPa) dn50 Black</v>
          </cell>
          <cell r="F1285">
            <v>1</v>
          </cell>
          <cell r="G1285">
            <v>34687</v>
          </cell>
          <cell r="H1285">
            <v>31250</v>
          </cell>
          <cell r="I1285">
            <v>0.15</v>
          </cell>
          <cell r="J1285">
            <v>36765</v>
          </cell>
          <cell r="K1285">
            <v>0.14</v>
          </cell>
          <cell r="L1285">
            <v>36338</v>
          </cell>
        </row>
        <row r="1286">
          <cell r="C1286">
            <v>8010040390</v>
          </cell>
          <cell r="D1286" t="str">
            <v>90°电熔弯头(PE配件)1.6MPa黑色 dn90</v>
          </cell>
          <cell r="E1286" t="str">
            <v>HDPE Electro-fusion 90° Elbow (1.6MPa) dn90 Black</v>
          </cell>
          <cell r="F1286">
            <v>1</v>
          </cell>
          <cell r="G1286">
            <v>66170</v>
          </cell>
          <cell r="H1286">
            <v>59613</v>
          </cell>
          <cell r="I1286">
            <v>0.15</v>
          </cell>
          <cell r="J1286">
            <v>70133</v>
          </cell>
          <cell r="K1286">
            <v>0.14</v>
          </cell>
          <cell r="L1286">
            <v>69318</v>
          </cell>
        </row>
        <row r="1287">
          <cell r="C1287">
            <v>8010045586</v>
          </cell>
          <cell r="D1287" t="str">
            <v>90°新型电熔三通(PE配件)1.6MPa黑色 dn200</v>
          </cell>
          <cell r="E1287" t="str">
            <v>HDPE Electro-fusion 90° Tee (1.6MPa) dn200 Black</v>
          </cell>
          <cell r="F1287">
            <v>1</v>
          </cell>
          <cell r="G1287">
            <v>584351</v>
          </cell>
          <cell r="H1287">
            <v>526443</v>
          </cell>
          <cell r="I1287">
            <v>0.15</v>
          </cell>
          <cell r="J1287">
            <v>619345</v>
          </cell>
          <cell r="K1287">
            <v>0.14</v>
          </cell>
          <cell r="L1287">
            <v>612144</v>
          </cell>
        </row>
        <row r="1288">
          <cell r="C1288">
            <v>8010045587</v>
          </cell>
          <cell r="D1288" t="str">
            <v>90°新型电熔三通(PE配件)1.6MPa黑色 dn110</v>
          </cell>
          <cell r="E1288" t="str">
            <v>HDPE Electro-fusion 90° Tee (1.6MPa) dn110 Black</v>
          </cell>
          <cell r="F1288">
            <v>1</v>
          </cell>
          <cell r="G1288">
            <v>129198</v>
          </cell>
          <cell r="H1288">
            <v>116395</v>
          </cell>
          <cell r="I1288">
            <v>0.15</v>
          </cell>
          <cell r="J1288">
            <v>136936</v>
          </cell>
          <cell r="K1288">
            <v>0.14</v>
          </cell>
          <cell r="L1288">
            <v>135344</v>
          </cell>
        </row>
        <row r="1289">
          <cell r="C1289">
            <v>8010045437</v>
          </cell>
          <cell r="D1289" t="str">
            <v>90°新型电熔三通(PE配件)1.6MPa黑色 dn160</v>
          </cell>
          <cell r="E1289" t="str">
            <v>HDPE Electro-fusion 90° Tee (1.6MPa) dn160 Black</v>
          </cell>
          <cell r="F1289">
            <v>1</v>
          </cell>
          <cell r="G1289">
            <v>316511</v>
          </cell>
          <cell r="H1289">
            <v>285146</v>
          </cell>
          <cell r="I1289">
            <v>0.15</v>
          </cell>
          <cell r="J1289">
            <v>335466</v>
          </cell>
          <cell r="K1289">
            <v>0.14</v>
          </cell>
          <cell r="L1289">
            <v>331566</v>
          </cell>
        </row>
        <row r="1290">
          <cell r="C1290">
            <v>8010044640</v>
          </cell>
          <cell r="D1290" t="str">
            <v>90°电熔三通(PE配件)1.6MPa黑色 dn225</v>
          </cell>
          <cell r="E1290" t="str">
            <v>HDPE Electro-fusion 90° Tee (1.6MPa) dn225 Black</v>
          </cell>
          <cell r="F1290">
            <v>1</v>
          </cell>
          <cell r="G1290">
            <v>739397</v>
          </cell>
          <cell r="H1290">
            <v>666124</v>
          </cell>
          <cell r="I1290">
            <v>0.15</v>
          </cell>
          <cell r="J1290">
            <v>783676</v>
          </cell>
          <cell r="K1290">
            <v>0.14</v>
          </cell>
          <cell r="L1290">
            <v>774563</v>
          </cell>
        </row>
        <row r="1291">
          <cell r="C1291">
            <v>8010040286</v>
          </cell>
          <cell r="D1291" t="str">
            <v>90°电熔三通(PE配件)1.6MPa黑色 dn125</v>
          </cell>
          <cell r="E1291" t="str">
            <v>HDPE Electro-fusion 90° Tee (1.6MPa) dn125 Black</v>
          </cell>
          <cell r="F1291">
            <v>1</v>
          </cell>
          <cell r="G1291">
            <v>167917</v>
          </cell>
          <cell r="H1291">
            <v>151277</v>
          </cell>
          <cell r="I1291">
            <v>0.15</v>
          </cell>
          <cell r="J1291">
            <v>177973</v>
          </cell>
          <cell r="K1291">
            <v>0.14</v>
          </cell>
          <cell r="L1291">
            <v>175904</v>
          </cell>
        </row>
        <row r="1292">
          <cell r="C1292">
            <v>8010040288</v>
          </cell>
          <cell r="D1292" t="str">
            <v>90°电熔三通(PE配件)1.6MPa黑色 dn180</v>
          </cell>
          <cell r="E1292" t="str">
            <v>HDPE Electro-fusion 90° Tee (1.6MPa) dn180 Black</v>
          </cell>
          <cell r="F1292">
            <v>1</v>
          </cell>
          <cell r="G1292">
            <v>427444</v>
          </cell>
          <cell r="H1292">
            <v>385085</v>
          </cell>
          <cell r="I1292">
            <v>0.15</v>
          </cell>
          <cell r="J1292">
            <v>453042</v>
          </cell>
          <cell r="K1292">
            <v>0.14</v>
          </cell>
          <cell r="L1292">
            <v>447774</v>
          </cell>
        </row>
        <row r="1293">
          <cell r="C1293">
            <v>8010040289</v>
          </cell>
          <cell r="D1293" t="str">
            <v>90°电熔三通(PE配件)1.6MPa黑色 dn20</v>
          </cell>
          <cell r="E1293" t="str">
            <v>HDPE Electro-fusion 90° Tee (1.6MPa) dn20 Black</v>
          </cell>
          <cell r="F1293">
            <v>1</v>
          </cell>
          <cell r="G1293">
            <v>13868</v>
          </cell>
          <cell r="H1293">
            <v>12494</v>
          </cell>
          <cell r="I1293">
            <v>0.15</v>
          </cell>
          <cell r="J1293">
            <v>14699</v>
          </cell>
          <cell r="K1293">
            <v>0.14</v>
          </cell>
          <cell r="L1293">
            <v>14528</v>
          </cell>
        </row>
        <row r="1294">
          <cell r="C1294">
            <v>8010040291</v>
          </cell>
          <cell r="D1294" t="str">
            <v>90°电熔三通(PE配件)1.6MPa黑色 dn25</v>
          </cell>
          <cell r="E1294" t="str">
            <v>HDPE Electro-fusion 90° Tee (1.6MPa) dn25 Black</v>
          </cell>
          <cell r="F1294">
            <v>1</v>
          </cell>
          <cell r="G1294">
            <v>14518</v>
          </cell>
          <cell r="H1294">
            <v>13080</v>
          </cell>
          <cell r="I1294">
            <v>0.15</v>
          </cell>
          <cell r="J1294">
            <v>15389</v>
          </cell>
          <cell r="K1294">
            <v>0.14</v>
          </cell>
          <cell r="L1294">
            <v>15210</v>
          </cell>
        </row>
        <row r="1295">
          <cell r="C1295">
            <v>8010040292</v>
          </cell>
          <cell r="D1295" t="str">
            <v>90°电熔三通(PE配件)1.6MPa黑色 dn250</v>
          </cell>
          <cell r="E1295" t="str">
            <v>HDPE Electro-fusion 90° Tee (1.6MPa) dn250 Black</v>
          </cell>
          <cell r="F1295">
            <v>1</v>
          </cell>
          <cell r="G1295">
            <v>920871</v>
          </cell>
          <cell r="H1295">
            <v>829614</v>
          </cell>
          <cell r="I1295">
            <v>0.15</v>
          </cell>
          <cell r="J1295">
            <v>976017</v>
          </cell>
          <cell r="K1295">
            <v>0.14</v>
          </cell>
          <cell r="L1295">
            <v>964668</v>
          </cell>
        </row>
        <row r="1296">
          <cell r="C1296">
            <v>8010040293</v>
          </cell>
          <cell r="D1296" t="str">
            <v>90°电熔三通(PE配件)1.6MPa黑色 dn315</v>
          </cell>
          <cell r="E1296" t="str">
            <v>HDPE Electro-fusion 90° Tee (1.6MPa) dn315 Black</v>
          </cell>
          <cell r="F1296">
            <v>1</v>
          </cell>
          <cell r="G1296">
            <v>1691920</v>
          </cell>
          <cell r="H1296">
            <v>1524253</v>
          </cell>
          <cell r="I1296">
            <v>0.15</v>
          </cell>
          <cell r="J1296">
            <v>1793239</v>
          </cell>
          <cell r="K1296">
            <v>0.14</v>
          </cell>
          <cell r="L1296">
            <v>1772388</v>
          </cell>
        </row>
        <row r="1297">
          <cell r="C1297">
            <v>8010040294</v>
          </cell>
          <cell r="D1297" t="str">
            <v>90°电熔三通(PE配件)1.6MPa黑色 dn32</v>
          </cell>
          <cell r="E1297" t="str">
            <v>HDPE Electro-fusion 90° Tee (1.6MPa) dn32 Black</v>
          </cell>
          <cell r="F1297">
            <v>1</v>
          </cell>
          <cell r="G1297">
            <v>18265</v>
          </cell>
          <cell r="H1297">
            <v>16455</v>
          </cell>
          <cell r="I1297">
            <v>0.15</v>
          </cell>
          <cell r="J1297">
            <v>19359</v>
          </cell>
          <cell r="K1297">
            <v>0.14</v>
          </cell>
          <cell r="L1297">
            <v>19134</v>
          </cell>
        </row>
        <row r="1298">
          <cell r="C1298">
            <v>8010040295</v>
          </cell>
          <cell r="D1298" t="str">
            <v>90°电熔三通(PE配件)1.6MPa黑色 dn40</v>
          </cell>
          <cell r="E1298" t="str">
            <v>HDPE Electro-fusion 90° Tee (1.6MPa) dn40 Black</v>
          </cell>
          <cell r="F1298">
            <v>1</v>
          </cell>
          <cell r="G1298">
            <v>27255</v>
          </cell>
          <cell r="H1298">
            <v>24555</v>
          </cell>
          <cell r="I1298">
            <v>0.15</v>
          </cell>
          <cell r="J1298">
            <v>28889</v>
          </cell>
          <cell r="K1298">
            <v>0.14</v>
          </cell>
          <cell r="L1298">
            <v>28553</v>
          </cell>
        </row>
        <row r="1299">
          <cell r="C1299">
            <v>8010040296</v>
          </cell>
          <cell r="D1299" t="str">
            <v>90°电熔三通(PE配件)1.6MPa黑色 dn400</v>
          </cell>
          <cell r="E1299" t="str">
            <v>HDPE Electro-fusion 90° Tee (1.6MPa) dn400 Black</v>
          </cell>
          <cell r="F1299">
            <v>1</v>
          </cell>
          <cell r="G1299">
            <v>3448764</v>
          </cell>
          <cell r="H1299">
            <v>3106995</v>
          </cell>
          <cell r="I1299">
            <v>0.15</v>
          </cell>
          <cell r="J1299">
            <v>3655289</v>
          </cell>
          <cell r="K1299">
            <v>0.14</v>
          </cell>
          <cell r="L1299">
            <v>3612785</v>
          </cell>
        </row>
        <row r="1300">
          <cell r="C1300">
            <v>8010040297</v>
          </cell>
          <cell r="D1300" t="str">
            <v>90°电熔三通(PE配件)1.6MPa黑色 dn50</v>
          </cell>
          <cell r="E1300" t="str">
            <v>HDPE Electro-fusion 90° Tee (1.6MPa) dn50 Black</v>
          </cell>
          <cell r="F1300">
            <v>1</v>
          </cell>
          <cell r="G1300">
            <v>38568</v>
          </cell>
          <cell r="H1300">
            <v>34746</v>
          </cell>
          <cell r="I1300">
            <v>0.15</v>
          </cell>
          <cell r="J1300">
            <v>40878</v>
          </cell>
          <cell r="K1300">
            <v>0.14</v>
          </cell>
          <cell r="L1300">
            <v>40403</v>
          </cell>
        </row>
        <row r="1301">
          <cell r="C1301">
            <v>8010040298</v>
          </cell>
          <cell r="D1301" t="str">
            <v>90°电熔三通(PE配件)1.6MPa黑色 dn63</v>
          </cell>
          <cell r="E1301" t="str">
            <v>HDPE Electro-fusion 90° Tee (1.6MPa) dn63 Black</v>
          </cell>
          <cell r="F1301">
            <v>1</v>
          </cell>
          <cell r="G1301">
            <v>41274</v>
          </cell>
          <cell r="H1301">
            <v>37184</v>
          </cell>
          <cell r="I1301">
            <v>0.15</v>
          </cell>
          <cell r="J1301">
            <v>43746</v>
          </cell>
          <cell r="K1301">
            <v>0.14</v>
          </cell>
          <cell r="L1301">
            <v>43238</v>
          </cell>
        </row>
        <row r="1302">
          <cell r="C1302">
            <v>8010040299</v>
          </cell>
          <cell r="D1302" t="str">
            <v>90°电熔三通(PE配件)1.6MPa黑色 dn75</v>
          </cell>
          <cell r="E1302" t="str">
            <v>HDPE Electro-fusion 90° Tee (1.6MPa) dn75 Black</v>
          </cell>
          <cell r="F1302">
            <v>1</v>
          </cell>
          <cell r="G1302">
            <v>57456</v>
          </cell>
          <cell r="H1302">
            <v>51763</v>
          </cell>
          <cell r="I1302">
            <v>0.15</v>
          </cell>
          <cell r="J1302">
            <v>60898</v>
          </cell>
          <cell r="K1302">
            <v>0.14</v>
          </cell>
          <cell r="L1302">
            <v>60190</v>
          </cell>
        </row>
        <row r="1303">
          <cell r="C1303">
            <v>8010040300</v>
          </cell>
          <cell r="D1303" t="str">
            <v>90°电熔三通(PE配件)1.6MPa黑色 dn90</v>
          </cell>
          <cell r="E1303" t="str">
            <v>HDPE Electro-fusion 90° Tee (1.6MPa) dn90 Black</v>
          </cell>
          <cell r="F1303">
            <v>1</v>
          </cell>
          <cell r="G1303">
            <v>78925</v>
          </cell>
          <cell r="H1303">
            <v>71104</v>
          </cell>
          <cell r="I1303">
            <v>0.15</v>
          </cell>
          <cell r="J1303">
            <v>83652</v>
          </cell>
          <cell r="K1303">
            <v>0.14</v>
          </cell>
          <cell r="L1303">
            <v>82680</v>
          </cell>
        </row>
        <row r="1304">
          <cell r="C1304">
            <v>8010040494</v>
          </cell>
          <cell r="D1304" t="str">
            <v>电熔异径套管(PE配件)1.6MPa黑色 dn400×200</v>
          </cell>
          <cell r="E1304" t="str">
            <v>HDPE Electro-fusion Reducing Coupler (1.6Mpa) dn400x200 Black</v>
          </cell>
          <cell r="F1304">
            <v>1</v>
          </cell>
          <cell r="G1304">
            <v>1303400</v>
          </cell>
          <cell r="H1304">
            <v>1174235</v>
          </cell>
          <cell r="I1304">
            <v>0.15</v>
          </cell>
          <cell r="J1304">
            <v>1381453</v>
          </cell>
          <cell r="K1304">
            <v>0.14</v>
          </cell>
          <cell r="L1304">
            <v>1365390</v>
          </cell>
        </row>
        <row r="1305">
          <cell r="C1305">
            <v>8010040474</v>
          </cell>
          <cell r="D1305" t="str">
            <v>电熔异径套管(PE配件)1.6MPa黑色 dn110×50</v>
          </cell>
          <cell r="E1305" t="str">
            <v>HDPE Electro-fusion Reducing Coupler (1.6Mpa) dn110x50 Black</v>
          </cell>
          <cell r="F1305">
            <v>1</v>
          </cell>
          <cell r="G1305">
            <v>77385</v>
          </cell>
          <cell r="H1305">
            <v>69717</v>
          </cell>
          <cell r="I1305">
            <v>0.15</v>
          </cell>
          <cell r="J1305">
            <v>82020</v>
          </cell>
          <cell r="K1305">
            <v>0.14</v>
          </cell>
          <cell r="L1305">
            <v>81067</v>
          </cell>
        </row>
        <row r="1306">
          <cell r="C1306">
            <v>8010040475</v>
          </cell>
          <cell r="D1306" t="str">
            <v>电熔异径套管(PE配件)1.6MPa黑色 dn110×63</v>
          </cell>
          <cell r="E1306" t="str">
            <v>HDPE Electro-fusion Reducing Coupler (1.6Mpa) dn110x63 Black</v>
          </cell>
          <cell r="F1306">
            <v>1</v>
          </cell>
          <cell r="G1306">
            <v>58444</v>
          </cell>
          <cell r="H1306">
            <v>52653</v>
          </cell>
          <cell r="I1306">
            <v>0.15</v>
          </cell>
          <cell r="J1306">
            <v>61945</v>
          </cell>
          <cell r="K1306">
            <v>0.14</v>
          </cell>
          <cell r="L1306">
            <v>61225</v>
          </cell>
        </row>
        <row r="1307">
          <cell r="C1307">
            <v>8010040476</v>
          </cell>
          <cell r="D1307" t="str">
            <v>电熔异径套管(PE配件)1.6MPa黑色 dn110×75</v>
          </cell>
          <cell r="E1307" t="str">
            <v>HDPE Electro-fusion Reducing Coupler (1.6Mpa) dn110x75 Black</v>
          </cell>
          <cell r="F1307">
            <v>1</v>
          </cell>
          <cell r="G1307">
            <v>62209</v>
          </cell>
          <cell r="H1307">
            <v>56045</v>
          </cell>
          <cell r="I1307">
            <v>0.15</v>
          </cell>
          <cell r="J1307">
            <v>65936</v>
          </cell>
          <cell r="K1307">
            <v>0.14</v>
          </cell>
          <cell r="L1307">
            <v>65169</v>
          </cell>
        </row>
        <row r="1308">
          <cell r="C1308">
            <v>8010040477</v>
          </cell>
          <cell r="D1308" t="str">
            <v>电熔异径套管(PE配件)1.6MPa黑色 dn110×90</v>
          </cell>
          <cell r="E1308" t="str">
            <v>HDPE Electro-fusion Reducing Coupler (1.6Mpa) dn110x90 Black</v>
          </cell>
          <cell r="F1308">
            <v>1</v>
          </cell>
          <cell r="G1308">
            <v>64425</v>
          </cell>
          <cell r="H1308">
            <v>58041</v>
          </cell>
          <cell r="I1308">
            <v>0.15</v>
          </cell>
          <cell r="J1308">
            <v>68284</v>
          </cell>
          <cell r="K1308">
            <v>0.14</v>
          </cell>
          <cell r="L1308">
            <v>67490</v>
          </cell>
        </row>
        <row r="1309">
          <cell r="C1309">
            <v>8010040478</v>
          </cell>
          <cell r="D1309" t="str">
            <v>电熔异径套管(PE配件)1.6MPa黑色 dn125×90</v>
          </cell>
          <cell r="E1309" t="str">
            <v>HDPE Electro-fusion Reducing Coupler (1.6Mpa) dn125x90 Black</v>
          </cell>
          <cell r="F1309">
            <v>1</v>
          </cell>
          <cell r="G1309">
            <v>77768</v>
          </cell>
          <cell r="H1309">
            <v>70062</v>
          </cell>
          <cell r="I1309">
            <v>0.15</v>
          </cell>
          <cell r="J1309">
            <v>82426</v>
          </cell>
          <cell r="K1309">
            <v>0.14</v>
          </cell>
          <cell r="L1309">
            <v>81468</v>
          </cell>
        </row>
        <row r="1310">
          <cell r="C1310">
            <v>8010040479</v>
          </cell>
          <cell r="D1310" t="str">
            <v>电熔异径套管(PE配件)1.6MPa黑色 dn160×110</v>
          </cell>
          <cell r="E1310" t="str">
            <v>HDPE Electro-fusion Reducing Coupler (1.6Mpa) dn160x110 Black</v>
          </cell>
          <cell r="F1310">
            <v>1</v>
          </cell>
          <cell r="G1310">
            <v>148771</v>
          </cell>
          <cell r="H1310">
            <v>134028</v>
          </cell>
          <cell r="I1310">
            <v>0.15</v>
          </cell>
          <cell r="J1310">
            <v>157680</v>
          </cell>
          <cell r="K1310">
            <v>0.14</v>
          </cell>
          <cell r="L1310">
            <v>155847</v>
          </cell>
        </row>
        <row r="1311">
          <cell r="C1311">
            <v>8010040481</v>
          </cell>
          <cell r="D1311" t="str">
            <v>电熔异径套管(PE配件)1.6MPa黑色 dn160×90</v>
          </cell>
          <cell r="E1311" t="str">
            <v>HDPE Electro-fusion Reducing Coupler (1.6Mpa) dn160x90 Black</v>
          </cell>
          <cell r="F1311">
            <v>1</v>
          </cell>
          <cell r="G1311">
            <v>130818</v>
          </cell>
          <cell r="H1311">
            <v>117855</v>
          </cell>
          <cell r="I1311">
            <v>0.15</v>
          </cell>
          <cell r="J1311">
            <v>138653</v>
          </cell>
          <cell r="K1311">
            <v>0.14</v>
          </cell>
          <cell r="L1311">
            <v>137041</v>
          </cell>
        </row>
        <row r="1312">
          <cell r="C1312">
            <v>8010040482</v>
          </cell>
          <cell r="D1312" t="str">
            <v>电熔异径套管(PE配件)1.6MPa黑色 dn200×110</v>
          </cell>
          <cell r="E1312" t="str">
            <v>HDPE Electro-fusion Reducing Coupler (1.6Mpa) dn200x110 Black</v>
          </cell>
          <cell r="F1312">
            <v>1</v>
          </cell>
          <cell r="G1312">
            <v>258921</v>
          </cell>
          <cell r="H1312">
            <v>233263</v>
          </cell>
          <cell r="I1312">
            <v>0.15</v>
          </cell>
          <cell r="J1312">
            <v>274428</v>
          </cell>
          <cell r="K1312">
            <v>0.14</v>
          </cell>
          <cell r="L1312">
            <v>271237</v>
          </cell>
        </row>
        <row r="1313">
          <cell r="C1313">
            <v>8010040483</v>
          </cell>
          <cell r="D1313" t="str">
            <v>电熔异径套管(PE配件)1.6MPa黑色 dn200×160</v>
          </cell>
          <cell r="E1313" t="str">
            <v>HDPE Electro-fusion Reducing Coupler (1.6Mpa) dn200x160 Black</v>
          </cell>
          <cell r="F1313">
            <v>1</v>
          </cell>
          <cell r="G1313">
            <v>286452</v>
          </cell>
          <cell r="H1313">
            <v>258065</v>
          </cell>
          <cell r="I1313">
            <v>0.15</v>
          </cell>
          <cell r="J1313">
            <v>303606</v>
          </cell>
          <cell r="K1313">
            <v>0.14</v>
          </cell>
          <cell r="L1313">
            <v>300076</v>
          </cell>
        </row>
        <row r="1314">
          <cell r="C1314">
            <v>8010040486</v>
          </cell>
          <cell r="D1314" t="str">
            <v>电熔异径套管(PE配件)1.6MPa黑色 dn200×90</v>
          </cell>
          <cell r="E1314" t="str">
            <v>HDPE Electro-fusion Reducing Coupler (1.6Mpa) dn200x90 Black</v>
          </cell>
          <cell r="F1314">
            <v>1</v>
          </cell>
          <cell r="G1314">
            <v>266736</v>
          </cell>
          <cell r="H1314">
            <v>240303</v>
          </cell>
          <cell r="I1314">
            <v>0.15</v>
          </cell>
          <cell r="J1314">
            <v>282710</v>
          </cell>
          <cell r="K1314">
            <v>0.14</v>
          </cell>
          <cell r="L1314">
            <v>279423</v>
          </cell>
        </row>
        <row r="1315">
          <cell r="C1315">
            <v>8010040487</v>
          </cell>
          <cell r="D1315" t="str">
            <v>电熔异径套管(PE配件)1.6MPa黑色 dn250×110</v>
          </cell>
          <cell r="E1315" t="str">
            <v>HDPE Electro-fusion Reducing Coupler (1.6Mpa) dn250x110 Black</v>
          </cell>
          <cell r="F1315">
            <v>1</v>
          </cell>
          <cell r="G1315">
            <v>367309</v>
          </cell>
          <cell r="H1315">
            <v>330910</v>
          </cell>
          <cell r="I1315">
            <v>0.15</v>
          </cell>
          <cell r="J1315">
            <v>389306</v>
          </cell>
          <cell r="K1315">
            <v>0.14</v>
          </cell>
          <cell r="L1315">
            <v>384780</v>
          </cell>
        </row>
        <row r="1316">
          <cell r="C1316">
            <v>8010040488</v>
          </cell>
          <cell r="D1316" t="str">
            <v>电熔异径套管(PE配件)1.6MPa黑色 dn250×160</v>
          </cell>
          <cell r="E1316" t="str">
            <v>HDPE Electro-fusion Reducing Coupler (1.6Mpa) dn250x160 Black</v>
          </cell>
          <cell r="F1316">
            <v>1</v>
          </cell>
          <cell r="G1316">
            <v>388422</v>
          </cell>
          <cell r="H1316">
            <v>349930</v>
          </cell>
          <cell r="I1316">
            <v>0.15</v>
          </cell>
          <cell r="J1316">
            <v>411683</v>
          </cell>
          <cell r="K1316">
            <v>0.14</v>
          </cell>
          <cell r="L1316">
            <v>406896</v>
          </cell>
        </row>
        <row r="1317">
          <cell r="C1317">
            <v>8010040489</v>
          </cell>
          <cell r="D1317" t="str">
            <v>电熔异径套管(PE配件)1.6MPa黑色 dn250×200</v>
          </cell>
          <cell r="E1317" t="str">
            <v>HDPE Electro-fusion Reducing Coupler (1.6Mpa) dn250x200 Black</v>
          </cell>
          <cell r="F1317">
            <v>1</v>
          </cell>
          <cell r="G1317">
            <v>423741</v>
          </cell>
          <cell r="H1317">
            <v>381749</v>
          </cell>
          <cell r="I1317">
            <v>0.15</v>
          </cell>
          <cell r="J1317">
            <v>449117</v>
          </cell>
          <cell r="K1317">
            <v>0.14</v>
          </cell>
          <cell r="L1317">
            <v>443895</v>
          </cell>
        </row>
        <row r="1318">
          <cell r="C1318">
            <v>8010040490</v>
          </cell>
          <cell r="D1318" t="str">
            <v>电熔异径套管(PE配件)1.6MPa黑色 dn315×160</v>
          </cell>
          <cell r="E1318" t="str">
            <v>HDPE Electro-fusion Reducing Coupler (1.6Mpa) dn315x160 Black</v>
          </cell>
          <cell r="F1318">
            <v>1</v>
          </cell>
          <cell r="G1318">
            <v>666213</v>
          </cell>
          <cell r="H1318">
            <v>600192</v>
          </cell>
          <cell r="I1318">
            <v>0.15</v>
          </cell>
          <cell r="J1318">
            <v>706109</v>
          </cell>
          <cell r="K1318">
            <v>0.14</v>
          </cell>
          <cell r="L1318">
            <v>697898</v>
          </cell>
        </row>
        <row r="1319">
          <cell r="C1319">
            <v>8010040491</v>
          </cell>
          <cell r="D1319" t="str">
            <v>电熔异径套管(PE配件)1.6MPa黑色 dn315×200</v>
          </cell>
          <cell r="E1319" t="str">
            <v>HDPE Electro-fusion Reducing Coupler (1.6Mpa) dn315x200 Black</v>
          </cell>
          <cell r="F1319">
            <v>1</v>
          </cell>
          <cell r="G1319">
            <v>735018</v>
          </cell>
          <cell r="H1319">
            <v>662179</v>
          </cell>
          <cell r="I1319">
            <v>0.15</v>
          </cell>
          <cell r="J1319">
            <v>779035</v>
          </cell>
          <cell r="K1319">
            <v>0.14</v>
          </cell>
          <cell r="L1319">
            <v>769976</v>
          </cell>
        </row>
        <row r="1320">
          <cell r="C1320">
            <v>8010040492</v>
          </cell>
          <cell r="D1320" t="str">
            <v>电熔异径套管(PE配件)1.6MPa黑色 dn315×250</v>
          </cell>
          <cell r="E1320" t="str">
            <v>HDPE Electro-fusion Reducing Coupler (1.6Mpa) dn315x250 Black</v>
          </cell>
          <cell r="F1320">
            <v>1</v>
          </cell>
          <cell r="G1320">
            <v>704122</v>
          </cell>
          <cell r="H1320">
            <v>634345</v>
          </cell>
          <cell r="I1320">
            <v>0.15</v>
          </cell>
          <cell r="J1320">
            <v>746289</v>
          </cell>
          <cell r="K1320">
            <v>0.14</v>
          </cell>
          <cell r="L1320">
            <v>737611</v>
          </cell>
        </row>
        <row r="1321">
          <cell r="C1321">
            <v>8010040493</v>
          </cell>
          <cell r="D1321" t="str">
            <v>电熔异径套管(PE配件)1.6MPa黑色 dn32×25</v>
          </cell>
          <cell r="E1321" t="str">
            <v>HDPE Electro-fusion Reducing Coupler (1.6Mpa) dn32x25 Black</v>
          </cell>
          <cell r="F1321">
            <v>1</v>
          </cell>
          <cell r="G1321">
            <v>20374</v>
          </cell>
          <cell r="H1321">
            <v>18355</v>
          </cell>
          <cell r="I1321">
            <v>0.15</v>
          </cell>
          <cell r="J1321">
            <v>21595</v>
          </cell>
          <cell r="K1321">
            <v>0.14</v>
          </cell>
          <cell r="L1321">
            <v>21344</v>
          </cell>
        </row>
        <row r="1322">
          <cell r="C1322">
            <v>8010040495</v>
          </cell>
          <cell r="D1322" t="str">
            <v>电熔异径套管(PE配件)1.6MPa黑色 dn400×315</v>
          </cell>
          <cell r="E1322" t="str">
            <v>HDPE Electro-fusion Reducing Coupler (1.6Mpa) dn400x315 Black</v>
          </cell>
          <cell r="F1322">
            <v>1</v>
          </cell>
          <cell r="G1322">
            <v>1353166</v>
          </cell>
          <cell r="H1322">
            <v>1219069</v>
          </cell>
          <cell r="I1322">
            <v>0.15</v>
          </cell>
          <cell r="J1322">
            <v>1434199</v>
          </cell>
          <cell r="K1322">
            <v>0.14</v>
          </cell>
          <cell r="L1322">
            <v>1417523</v>
          </cell>
        </row>
        <row r="1323">
          <cell r="C1323">
            <v>8010040496</v>
          </cell>
          <cell r="D1323" t="str">
            <v>电熔异径套管(PE配件)1.6MPa黑色 dn40×32</v>
          </cell>
          <cell r="E1323" t="str">
            <v>HDPE Electro-fusion Reducing Coupler (1.6Mpa) dn40x32 Black</v>
          </cell>
          <cell r="F1323">
            <v>1</v>
          </cell>
          <cell r="G1323">
            <v>17579</v>
          </cell>
          <cell r="H1323">
            <v>15837</v>
          </cell>
          <cell r="I1323">
            <v>0.15</v>
          </cell>
          <cell r="J1323">
            <v>18632</v>
          </cell>
          <cell r="K1323">
            <v>0.14</v>
          </cell>
          <cell r="L1323">
            <v>18416</v>
          </cell>
        </row>
        <row r="1324">
          <cell r="C1324">
            <v>8010040497</v>
          </cell>
          <cell r="D1324" t="str">
            <v>电熔异径套管(PE配件)1.6MPa黑色 dn50×32</v>
          </cell>
          <cell r="E1324" t="str">
            <v>HDPE Electro-fusion Reducing Coupler (1.6Mpa) dn50x32 Black</v>
          </cell>
          <cell r="F1324">
            <v>1</v>
          </cell>
          <cell r="G1324">
            <v>21202</v>
          </cell>
          <cell r="H1324">
            <v>19101</v>
          </cell>
          <cell r="I1324">
            <v>0.15</v>
          </cell>
          <cell r="J1324">
            <v>22472</v>
          </cell>
          <cell r="K1324">
            <v>0.14</v>
          </cell>
          <cell r="L1324">
            <v>22211</v>
          </cell>
        </row>
        <row r="1325">
          <cell r="C1325">
            <v>8010040498</v>
          </cell>
          <cell r="D1325" t="str">
            <v>电熔异径套管(PE配件)1.6MPa黑色 dn50×40</v>
          </cell>
          <cell r="E1325" t="str">
            <v>HDPE Electro-fusion Reducing Coupler (1.6Mpa) dn50x40 Black</v>
          </cell>
          <cell r="F1325">
            <v>1</v>
          </cell>
          <cell r="G1325">
            <v>25528</v>
          </cell>
          <cell r="H1325">
            <v>22999</v>
          </cell>
          <cell r="I1325">
            <v>0.15</v>
          </cell>
          <cell r="J1325">
            <v>27058</v>
          </cell>
          <cell r="K1325">
            <v>0.14</v>
          </cell>
          <cell r="L1325">
            <v>26744</v>
          </cell>
        </row>
        <row r="1326">
          <cell r="C1326">
            <v>8010040499</v>
          </cell>
          <cell r="D1326" t="str">
            <v>电熔异径套管(PE配件)1.6MPa黑色 dn63×32</v>
          </cell>
          <cell r="E1326" t="str">
            <v>HDPE Electro-fusion Reducing Coupler (1.6Mpa) dn63x32 Black</v>
          </cell>
          <cell r="F1326">
            <v>1</v>
          </cell>
          <cell r="G1326">
            <v>29249</v>
          </cell>
          <cell r="H1326">
            <v>26351</v>
          </cell>
          <cell r="I1326">
            <v>0.15</v>
          </cell>
          <cell r="J1326">
            <v>31002</v>
          </cell>
          <cell r="K1326">
            <v>0.14</v>
          </cell>
          <cell r="L1326">
            <v>30641</v>
          </cell>
        </row>
        <row r="1327">
          <cell r="C1327">
            <v>8010040500</v>
          </cell>
          <cell r="D1327" t="str">
            <v>电熔异径套管(PE配件)1.6MPa黑色 dn63×40</v>
          </cell>
          <cell r="E1327" t="str">
            <v>HDPE Electro-fusion Reducing Coupler (1.6Mpa) dn63x40 Black</v>
          </cell>
          <cell r="F1327">
            <v>1</v>
          </cell>
          <cell r="G1327">
            <v>30085</v>
          </cell>
          <cell r="H1327">
            <v>27104</v>
          </cell>
          <cell r="I1327">
            <v>0.15</v>
          </cell>
          <cell r="J1327">
            <v>31888</v>
          </cell>
          <cell r="K1327">
            <v>0.14</v>
          </cell>
          <cell r="L1327">
            <v>31517</v>
          </cell>
        </row>
        <row r="1328">
          <cell r="C1328">
            <v>8010040501</v>
          </cell>
          <cell r="D1328" t="str">
            <v>电熔异径套管(PE配件)1.6MPa黑色 dn63×50</v>
          </cell>
          <cell r="E1328" t="str">
            <v>HDPE Electro-fusion Reducing Coupler (1.6Mpa) dn63x50 Black</v>
          </cell>
          <cell r="F1328">
            <v>1</v>
          </cell>
          <cell r="G1328">
            <v>37829</v>
          </cell>
          <cell r="H1328">
            <v>34081</v>
          </cell>
          <cell r="I1328">
            <v>0.15</v>
          </cell>
          <cell r="J1328">
            <v>40096</v>
          </cell>
          <cell r="K1328">
            <v>0.14</v>
          </cell>
          <cell r="L1328">
            <v>39630</v>
          </cell>
        </row>
        <row r="1329">
          <cell r="C1329">
            <v>8010040502</v>
          </cell>
          <cell r="D1329" t="str">
            <v>电熔异径套管(PE配件)1.6MPa黑色 dn75×63</v>
          </cell>
          <cell r="E1329" t="str">
            <v>HDPE Electro-fusion Reducing Coupler (1.6Mpa) dn75x63 Black</v>
          </cell>
          <cell r="F1329">
            <v>1</v>
          </cell>
          <cell r="G1329">
            <v>31527</v>
          </cell>
          <cell r="H1329">
            <v>28403</v>
          </cell>
          <cell r="I1329">
            <v>0.15</v>
          </cell>
          <cell r="J1329">
            <v>33416</v>
          </cell>
          <cell r="K1329">
            <v>0.14</v>
          </cell>
          <cell r="L1329">
            <v>33027</v>
          </cell>
        </row>
        <row r="1330">
          <cell r="C1330">
            <v>8010040503</v>
          </cell>
          <cell r="D1330" t="str">
            <v>电熔异径套管(PE配件)1.6MPa黑色 dn90×63</v>
          </cell>
          <cell r="E1330" t="str">
            <v>HDPE Electro-fusion Reducing Coupler (1.6Mpa) dn90x63 Black</v>
          </cell>
          <cell r="F1330">
            <v>1</v>
          </cell>
          <cell r="G1330">
            <v>40553</v>
          </cell>
          <cell r="H1330">
            <v>36535</v>
          </cell>
          <cell r="I1330">
            <v>0.15</v>
          </cell>
          <cell r="J1330">
            <v>42983</v>
          </cell>
          <cell r="K1330">
            <v>0.14</v>
          </cell>
          <cell r="L1330">
            <v>42483</v>
          </cell>
        </row>
        <row r="1331">
          <cell r="C1331">
            <v>8010040504</v>
          </cell>
          <cell r="D1331" t="str">
            <v>电熔异径套管(PE配件)1.6MPa黑色 dn90×75</v>
          </cell>
          <cell r="E1331" t="str">
            <v>HDPE Electro-fusion Reducing Coupler (1.6Mpa) dn90x75 Black</v>
          </cell>
          <cell r="F1331">
            <v>1</v>
          </cell>
          <cell r="G1331">
            <v>44523</v>
          </cell>
          <cell r="H1331">
            <v>40111</v>
          </cell>
          <cell r="I1331">
            <v>0.15</v>
          </cell>
          <cell r="J1331">
            <v>47190</v>
          </cell>
          <cell r="K1331">
            <v>0.14</v>
          </cell>
          <cell r="L1331">
            <v>46641</v>
          </cell>
        </row>
        <row r="1332">
          <cell r="C1332">
            <v>8010046192</v>
          </cell>
          <cell r="D1332" t="str">
            <v>新型电熔异径三通(PE配件)1.6MPa黑色 dn160×90</v>
          </cell>
          <cell r="E1332" t="str">
            <v>HDPE Electro-fusion Reducing Tee (1.6MPa) dn160x90 Black</v>
          </cell>
          <cell r="F1332">
            <v>1</v>
          </cell>
          <cell r="G1332">
            <v>231640</v>
          </cell>
          <cell r="H1332">
            <v>208685</v>
          </cell>
          <cell r="I1332">
            <v>0.15</v>
          </cell>
          <cell r="J1332">
            <v>245512</v>
          </cell>
          <cell r="K1332">
            <v>0.14</v>
          </cell>
          <cell r="L1332">
            <v>242657</v>
          </cell>
        </row>
        <row r="1333">
          <cell r="C1333">
            <v>8010046193</v>
          </cell>
          <cell r="D1333" t="str">
            <v>新型电熔异径三通(PE配件)1.6MPa黑色 dn160×75</v>
          </cell>
          <cell r="E1333" t="str">
            <v>HDPE Electro-fusion Reducing Tee (1.6MPa) dn160x75 Black</v>
          </cell>
          <cell r="F1333">
            <v>1</v>
          </cell>
          <cell r="G1333">
            <v>222525</v>
          </cell>
          <cell r="H1333">
            <v>200473</v>
          </cell>
          <cell r="I1333">
            <v>0.15</v>
          </cell>
          <cell r="J1333">
            <v>235851</v>
          </cell>
          <cell r="K1333">
            <v>0.14</v>
          </cell>
          <cell r="L1333">
            <v>233109</v>
          </cell>
        </row>
        <row r="1334">
          <cell r="C1334">
            <v>8010046194</v>
          </cell>
          <cell r="D1334" t="str">
            <v>新型电熔异径三通(PE配件)1.6MPa黑色 dn200×63</v>
          </cell>
          <cell r="E1334" t="str">
            <v>HDPE Electro-fusion Reducing Tee (1.6MPa) dn200x63 Black</v>
          </cell>
          <cell r="F1334">
            <v>1</v>
          </cell>
          <cell r="G1334">
            <v>387532</v>
          </cell>
          <cell r="H1334">
            <v>349128</v>
          </cell>
          <cell r="I1334">
            <v>0.15</v>
          </cell>
          <cell r="J1334">
            <v>410739</v>
          </cell>
          <cell r="K1334">
            <v>0.14</v>
          </cell>
          <cell r="L1334">
            <v>405963</v>
          </cell>
        </row>
        <row r="1335">
          <cell r="C1335">
            <v>8010046180</v>
          </cell>
          <cell r="D1335" t="str">
            <v>新型电熔异径三通(PE配件)1.6MPa黑色 dn160×63</v>
          </cell>
          <cell r="E1335" t="str">
            <v>HDPE Electro-fusion Reducing Tee (1.6MPa) dn160x63 Black</v>
          </cell>
          <cell r="F1335">
            <v>1</v>
          </cell>
          <cell r="G1335">
            <v>208613</v>
          </cell>
          <cell r="H1335">
            <v>187940</v>
          </cell>
          <cell r="I1335">
            <v>0.15</v>
          </cell>
          <cell r="J1335">
            <v>221106</v>
          </cell>
          <cell r="K1335">
            <v>0.14</v>
          </cell>
          <cell r="L1335">
            <v>218535</v>
          </cell>
        </row>
        <row r="1336">
          <cell r="C1336">
            <v>8010046181</v>
          </cell>
          <cell r="D1336" t="str">
            <v>新型电熔异径三通(PE配件)1.6MPa黑色 dn200×90</v>
          </cell>
          <cell r="E1336" t="str">
            <v>HDPE Electro-fusion Reducing Tee (1.6MPa) dn200x90 Black</v>
          </cell>
          <cell r="F1336">
            <v>1</v>
          </cell>
          <cell r="G1336">
            <v>404862</v>
          </cell>
          <cell r="H1336">
            <v>364741</v>
          </cell>
          <cell r="I1336">
            <v>0.15</v>
          </cell>
          <cell r="J1336">
            <v>429108</v>
          </cell>
          <cell r="K1336">
            <v>0.14</v>
          </cell>
          <cell r="L1336">
            <v>424118</v>
          </cell>
        </row>
        <row r="1337">
          <cell r="C1337">
            <v>8010045550</v>
          </cell>
          <cell r="D1337" t="str">
            <v>新型电熔异径三通(PE配件)1.6MPa黑色 dn200×110</v>
          </cell>
          <cell r="E1337" t="str">
            <v>HDPE Electro-fusion Reducing Tee (1.6MPa) dn200x110 Black</v>
          </cell>
          <cell r="F1337">
            <v>1</v>
          </cell>
          <cell r="G1337">
            <v>433354</v>
          </cell>
          <cell r="H1337">
            <v>390410</v>
          </cell>
          <cell r="I1337">
            <v>0.15</v>
          </cell>
          <cell r="J1337">
            <v>459306</v>
          </cell>
          <cell r="K1337">
            <v>0.14</v>
          </cell>
          <cell r="L1337">
            <v>453966</v>
          </cell>
        </row>
        <row r="1338">
          <cell r="C1338">
            <v>8010045551</v>
          </cell>
          <cell r="D1338" t="str">
            <v>新型电熔异径三通(PE配件)1.6MPa黑色 dn200×160</v>
          </cell>
          <cell r="E1338" t="str">
            <v>HDPE Electro-fusion Reducing Tee (1.6MPa) dn200x160 Black</v>
          </cell>
          <cell r="F1338">
            <v>1</v>
          </cell>
          <cell r="G1338">
            <v>517148</v>
          </cell>
          <cell r="H1338">
            <v>465900</v>
          </cell>
          <cell r="I1338">
            <v>0.15</v>
          </cell>
          <cell r="J1338">
            <v>548118</v>
          </cell>
          <cell r="K1338">
            <v>0.14</v>
          </cell>
          <cell r="L1338">
            <v>541745</v>
          </cell>
        </row>
        <row r="1339">
          <cell r="C1339">
            <v>8010045439</v>
          </cell>
          <cell r="D1339" t="str">
            <v>新型电熔异径三通(PE配件)1.6MPa黑色 dn160×110</v>
          </cell>
          <cell r="E1339" t="str">
            <v>HDPE Electro-fusion Reducing Tee (1.6MPa) dn160x110 Black</v>
          </cell>
          <cell r="F1339">
            <v>1</v>
          </cell>
          <cell r="G1339">
            <v>256545</v>
          </cell>
          <cell r="H1339">
            <v>231122</v>
          </cell>
          <cell r="I1339">
            <v>0.15</v>
          </cell>
          <cell r="J1339">
            <v>271909</v>
          </cell>
          <cell r="K1339">
            <v>0.14</v>
          </cell>
          <cell r="L1339">
            <v>268747</v>
          </cell>
        </row>
        <row r="1340">
          <cell r="C1340">
            <v>8010044239</v>
          </cell>
          <cell r="D1340" t="str">
            <v>电熔异径三通(PE配件)1.6MPa黑色 dn225×110</v>
          </cell>
          <cell r="E1340" t="str">
            <v>HDPE Electro-fusion Reducing Tee (1.6MPa) dn225x110 Black</v>
          </cell>
          <cell r="F1340">
            <v>1</v>
          </cell>
          <cell r="G1340">
            <v>497263</v>
          </cell>
          <cell r="H1340">
            <v>447985</v>
          </cell>
          <cell r="I1340">
            <v>0.15</v>
          </cell>
          <cell r="J1340">
            <v>527042</v>
          </cell>
          <cell r="K1340">
            <v>0.14</v>
          </cell>
          <cell r="L1340">
            <v>520913</v>
          </cell>
        </row>
        <row r="1341">
          <cell r="C1341">
            <v>8010043150</v>
          </cell>
          <cell r="D1341" t="str">
            <v>电熔异径三通(PE配件)1.6MPa黑色 dn180×160</v>
          </cell>
          <cell r="E1341" t="str">
            <v>HDPE Electro-fusion Reducing Tee (1.6MPa) dn180x160 Black</v>
          </cell>
          <cell r="F1341">
            <v>1</v>
          </cell>
          <cell r="G1341">
            <v>391510</v>
          </cell>
          <cell r="H1341">
            <v>352712</v>
          </cell>
          <cell r="I1341">
            <v>0.15</v>
          </cell>
          <cell r="J1341">
            <v>414956</v>
          </cell>
          <cell r="K1341">
            <v>0.14</v>
          </cell>
          <cell r="L1341">
            <v>410131</v>
          </cell>
        </row>
        <row r="1342">
          <cell r="C1342">
            <v>8010042154</v>
          </cell>
          <cell r="D1342" t="str">
            <v>电熔异径三通(PE配件)1.6MPa黑色 dn225×160</v>
          </cell>
          <cell r="E1342" t="str">
            <v>HDPE Electro-fusion Reducing Tee (1.6MPa) dn225x160 Black</v>
          </cell>
          <cell r="F1342">
            <v>1</v>
          </cell>
          <cell r="G1342">
            <v>577452</v>
          </cell>
          <cell r="H1342">
            <v>520228</v>
          </cell>
          <cell r="I1342">
            <v>0.15</v>
          </cell>
          <cell r="J1342">
            <v>612033</v>
          </cell>
          <cell r="K1342">
            <v>0.14</v>
          </cell>
          <cell r="L1342">
            <v>604917</v>
          </cell>
        </row>
        <row r="1343">
          <cell r="C1343">
            <v>8010042157</v>
          </cell>
          <cell r="D1343" t="str">
            <v>电熔异径三通(PE配件)1.6MPa黑色 dn400×90</v>
          </cell>
          <cell r="E1343" t="str">
            <v>HDPE Electro-fusion Reducing Tee (1.6MPa) dn400x90 Black</v>
          </cell>
          <cell r="F1343">
            <v>1</v>
          </cell>
          <cell r="G1343">
            <v>1835342</v>
          </cell>
          <cell r="H1343">
            <v>1653462</v>
          </cell>
          <cell r="I1343">
            <v>0.15</v>
          </cell>
          <cell r="J1343">
            <v>1945250</v>
          </cell>
          <cell r="K1343">
            <v>0.14</v>
          </cell>
          <cell r="L1343">
            <v>1922631</v>
          </cell>
        </row>
        <row r="1344">
          <cell r="C1344">
            <v>8010040403</v>
          </cell>
          <cell r="D1344" t="str">
            <v>电熔异径三通(PE配件)1.6MPa黑色 dn110×50</v>
          </cell>
          <cell r="E1344" t="str">
            <v>HDPE Electro-fusion Reducing Tee (1.6MPa) dn110x50 Black</v>
          </cell>
          <cell r="F1344">
            <v>1</v>
          </cell>
          <cell r="G1344">
            <v>93167</v>
          </cell>
          <cell r="H1344">
            <v>83935</v>
          </cell>
          <cell r="I1344">
            <v>0.15</v>
          </cell>
          <cell r="J1344">
            <v>98748</v>
          </cell>
          <cell r="K1344">
            <v>0.14</v>
          </cell>
          <cell r="L1344">
            <v>97599</v>
          </cell>
        </row>
        <row r="1345">
          <cell r="C1345">
            <v>8010040404</v>
          </cell>
          <cell r="D1345" t="str">
            <v>电熔异径三通(PE配件)1.6MPa黑色 dn110×63</v>
          </cell>
          <cell r="E1345" t="str">
            <v>HDPE Electro-fusion Reducing Tee (1.6MPa) dn110x63 Black</v>
          </cell>
          <cell r="F1345">
            <v>1</v>
          </cell>
          <cell r="G1345">
            <v>95267</v>
          </cell>
          <cell r="H1345">
            <v>85827</v>
          </cell>
          <cell r="I1345">
            <v>0.15</v>
          </cell>
          <cell r="J1345">
            <v>100973</v>
          </cell>
          <cell r="K1345">
            <v>0.14</v>
          </cell>
          <cell r="L1345">
            <v>99799</v>
          </cell>
        </row>
        <row r="1346">
          <cell r="C1346">
            <v>8010040405</v>
          </cell>
          <cell r="D1346" t="str">
            <v>电熔异径三通(PE配件)1.6MPa黑色 dn110×75</v>
          </cell>
          <cell r="E1346" t="str">
            <v>HDPE Electro-fusion Reducing Tee (1.6MPa) dn110x75 Black</v>
          </cell>
          <cell r="F1346">
            <v>1</v>
          </cell>
          <cell r="G1346">
            <v>104596</v>
          </cell>
          <cell r="H1346">
            <v>94231</v>
          </cell>
          <cell r="I1346">
            <v>0.15</v>
          </cell>
          <cell r="J1346">
            <v>110860</v>
          </cell>
          <cell r="K1346">
            <v>0.14</v>
          </cell>
          <cell r="L1346">
            <v>109571</v>
          </cell>
        </row>
        <row r="1347">
          <cell r="C1347">
            <v>8010040406</v>
          </cell>
          <cell r="D1347" t="str">
            <v>电熔异径三通(PE配件)1.6MPa黑色 dn110×90</v>
          </cell>
          <cell r="E1347" t="str">
            <v>HDPE Electro-fusion Reducing Tee (1.6MPa) dn110x90 Black</v>
          </cell>
          <cell r="F1347">
            <v>1</v>
          </cell>
          <cell r="G1347">
            <v>112126</v>
          </cell>
          <cell r="H1347">
            <v>101015</v>
          </cell>
          <cell r="I1347">
            <v>0.15</v>
          </cell>
          <cell r="J1347">
            <v>118842</v>
          </cell>
          <cell r="K1347">
            <v>0.14</v>
          </cell>
          <cell r="L1347">
            <v>117460</v>
          </cell>
        </row>
        <row r="1348">
          <cell r="C1348">
            <v>8010040407</v>
          </cell>
          <cell r="D1348" t="str">
            <v>电熔异径三通(PE配件)1.6MPa黑色 dn125×110</v>
          </cell>
          <cell r="E1348" t="str">
            <v>HDPE Electro-fusion Reducing Tee (1.6MPa) dn125x110 Black</v>
          </cell>
          <cell r="F1348">
            <v>1</v>
          </cell>
          <cell r="G1348">
            <v>148095</v>
          </cell>
          <cell r="H1348">
            <v>133419</v>
          </cell>
          <cell r="I1348">
            <v>0.15</v>
          </cell>
          <cell r="J1348">
            <v>156964</v>
          </cell>
          <cell r="K1348">
            <v>0.14</v>
          </cell>
          <cell r="L1348">
            <v>155139</v>
          </cell>
        </row>
        <row r="1349">
          <cell r="C1349">
            <v>8010040408</v>
          </cell>
          <cell r="D1349" t="str">
            <v>电熔异径三通(PE配件)1.6MPa黑色 dn125×63</v>
          </cell>
          <cell r="E1349" t="str">
            <v>HDPE Electro-fusion Reducing Tee (1.6MPa) dn125x63 Black</v>
          </cell>
          <cell r="F1349">
            <v>1</v>
          </cell>
          <cell r="G1349">
            <v>118499</v>
          </cell>
          <cell r="H1349">
            <v>106756</v>
          </cell>
          <cell r="I1349">
            <v>0.15</v>
          </cell>
          <cell r="J1349">
            <v>125596</v>
          </cell>
          <cell r="K1349">
            <v>0.14</v>
          </cell>
          <cell r="L1349">
            <v>124135</v>
          </cell>
        </row>
        <row r="1350">
          <cell r="C1350">
            <v>8010040409</v>
          </cell>
          <cell r="D1350" t="str">
            <v>电熔异径三通(PE配件)1.6MPa黑色 dn125×75</v>
          </cell>
          <cell r="E1350" t="str">
            <v>HDPE Electro-fusion Reducing Tee (1.6MPa) dn125x75 Black</v>
          </cell>
          <cell r="F1350">
            <v>1</v>
          </cell>
          <cell r="G1350">
            <v>119211</v>
          </cell>
          <cell r="H1350">
            <v>107398</v>
          </cell>
          <cell r="I1350">
            <v>0.15</v>
          </cell>
          <cell r="J1350">
            <v>126351</v>
          </cell>
          <cell r="K1350">
            <v>0.14</v>
          </cell>
          <cell r="L1350">
            <v>124882</v>
          </cell>
        </row>
        <row r="1351">
          <cell r="C1351">
            <v>8010040410</v>
          </cell>
          <cell r="D1351" t="str">
            <v>电熔异径三通(PE配件)1.6MPa黑色 dn125×90</v>
          </cell>
          <cell r="E1351" t="str">
            <v>HDPE Electro-fusion Reducing Tee (1.6MPa) dn125x90 Black</v>
          </cell>
          <cell r="F1351">
            <v>1</v>
          </cell>
          <cell r="G1351">
            <v>132954</v>
          </cell>
          <cell r="H1351">
            <v>119779</v>
          </cell>
          <cell r="I1351">
            <v>0.15</v>
          </cell>
          <cell r="J1351">
            <v>140917</v>
          </cell>
          <cell r="K1351">
            <v>0.14</v>
          </cell>
          <cell r="L1351">
            <v>139278</v>
          </cell>
        </row>
        <row r="1352">
          <cell r="C1352">
            <v>8010040412</v>
          </cell>
          <cell r="D1352" t="str">
            <v>电熔异径三通(PE配件)1.6MPa黑色 dn160×50</v>
          </cell>
          <cell r="E1352" t="str">
            <v>HDPE Electro-fusion Reducing Tee (1.6MPa) dn160x50 Black</v>
          </cell>
          <cell r="F1352">
            <v>1</v>
          </cell>
          <cell r="G1352">
            <v>199996</v>
          </cell>
          <cell r="H1352">
            <v>180177</v>
          </cell>
          <cell r="I1352">
            <v>0.15</v>
          </cell>
          <cell r="J1352">
            <v>211973</v>
          </cell>
          <cell r="K1352">
            <v>0.14</v>
          </cell>
          <cell r="L1352">
            <v>209509</v>
          </cell>
        </row>
        <row r="1353">
          <cell r="C1353">
            <v>8010040450</v>
          </cell>
          <cell r="D1353" t="str">
            <v>电熔异径三通(PE配件)1.6MPa黑色 dn63×32</v>
          </cell>
          <cell r="E1353" t="str">
            <v>HDPE Electro-fusion Reducing Tee (1.6MPa) dn63x32 Black</v>
          </cell>
          <cell r="F1353">
            <v>1</v>
          </cell>
          <cell r="G1353">
            <v>29240</v>
          </cell>
          <cell r="H1353">
            <v>26343</v>
          </cell>
          <cell r="I1353">
            <v>0.15</v>
          </cell>
          <cell r="J1353">
            <v>30992</v>
          </cell>
          <cell r="K1353">
            <v>0.14</v>
          </cell>
          <cell r="L1353">
            <v>30632</v>
          </cell>
        </row>
        <row r="1354">
          <cell r="C1354">
            <v>8010040451</v>
          </cell>
          <cell r="D1354" t="str">
            <v>电熔异径三通(PE配件)1.6MPa黑色 dn63×40</v>
          </cell>
          <cell r="E1354" t="str">
            <v>HDPE Electro-fusion Reducing Tee (1.6MPa) dn63x40 Black</v>
          </cell>
          <cell r="F1354">
            <v>1</v>
          </cell>
          <cell r="G1354">
            <v>31243</v>
          </cell>
          <cell r="H1354">
            <v>28147</v>
          </cell>
          <cell r="I1354">
            <v>0.15</v>
          </cell>
          <cell r="J1354">
            <v>33115</v>
          </cell>
          <cell r="K1354">
            <v>0.14</v>
          </cell>
          <cell r="L1354">
            <v>32730</v>
          </cell>
        </row>
        <row r="1355">
          <cell r="C1355">
            <v>8010040452</v>
          </cell>
          <cell r="D1355" t="str">
            <v>电熔异径三通(PE配件)1.6MPa黑色 dn63×50</v>
          </cell>
          <cell r="E1355" t="str">
            <v>HDPE Electro-fusion Reducing Tee (1.6MPa) dn63x50 Black</v>
          </cell>
          <cell r="F1355">
            <v>1</v>
          </cell>
          <cell r="G1355">
            <v>32587</v>
          </cell>
          <cell r="H1355">
            <v>29358</v>
          </cell>
          <cell r="I1355">
            <v>0.15</v>
          </cell>
          <cell r="J1355">
            <v>34539</v>
          </cell>
          <cell r="K1355">
            <v>0.14</v>
          </cell>
          <cell r="L1355">
            <v>34138</v>
          </cell>
        </row>
        <row r="1356">
          <cell r="C1356">
            <v>8010040453</v>
          </cell>
          <cell r="D1356" t="str">
            <v>电熔异径三通(PE配件)1.6MPa黑色 dn75×40</v>
          </cell>
          <cell r="E1356" t="str">
            <v>HDPE Electro-fusion Reducing Tee (1.6MPa) dn75x40 Black</v>
          </cell>
          <cell r="F1356">
            <v>1</v>
          </cell>
          <cell r="G1356">
            <v>43241</v>
          </cell>
          <cell r="H1356">
            <v>38956</v>
          </cell>
          <cell r="I1356">
            <v>0.15</v>
          </cell>
          <cell r="J1356">
            <v>45831</v>
          </cell>
          <cell r="K1356">
            <v>0.14</v>
          </cell>
          <cell r="L1356">
            <v>45298</v>
          </cell>
        </row>
        <row r="1357">
          <cell r="C1357">
            <v>8010040454</v>
          </cell>
          <cell r="D1357" t="str">
            <v>电熔异径三通(PE配件)1.6MPa黑色 dn75×50</v>
          </cell>
          <cell r="E1357" t="str">
            <v>HDPE Electro-fusion Reducing Tee (1.6MPa) dn75x50 Black</v>
          </cell>
          <cell r="F1357">
            <v>1</v>
          </cell>
          <cell r="G1357">
            <v>45635</v>
          </cell>
          <cell r="H1357">
            <v>41113</v>
          </cell>
          <cell r="I1357">
            <v>0.15</v>
          </cell>
          <cell r="J1357">
            <v>48369</v>
          </cell>
          <cell r="K1357">
            <v>0.14</v>
          </cell>
          <cell r="L1357">
            <v>47806</v>
          </cell>
        </row>
        <row r="1358">
          <cell r="C1358">
            <v>8010040455</v>
          </cell>
          <cell r="D1358" t="str">
            <v>电熔异径三通(PE配件)1.6MPa黑色 dn75×63</v>
          </cell>
          <cell r="E1358" t="str">
            <v>HDPE Electro-fusion Reducing Tee (1.6MPa) dn75x63 Black</v>
          </cell>
          <cell r="F1358">
            <v>1</v>
          </cell>
          <cell r="G1358">
            <v>48866</v>
          </cell>
          <cell r="H1358">
            <v>44024</v>
          </cell>
          <cell r="I1358">
            <v>0.15</v>
          </cell>
          <cell r="J1358">
            <v>51793</v>
          </cell>
          <cell r="K1358">
            <v>0.14</v>
          </cell>
          <cell r="L1358">
            <v>51191</v>
          </cell>
        </row>
        <row r="1359">
          <cell r="C1359">
            <v>8010040456</v>
          </cell>
          <cell r="D1359" t="str">
            <v>电熔异径三通(PE配件)1.6MPa黑色 dn90×40</v>
          </cell>
          <cell r="E1359" t="str">
            <v>HDPE Electro-fusion Reducing Tee (1.6MPa) dn90x40 Black</v>
          </cell>
          <cell r="F1359">
            <v>1</v>
          </cell>
          <cell r="G1359">
            <v>57447</v>
          </cell>
          <cell r="H1359">
            <v>51755</v>
          </cell>
          <cell r="I1359">
            <v>0.15</v>
          </cell>
          <cell r="J1359">
            <v>60889</v>
          </cell>
          <cell r="K1359">
            <v>0.14</v>
          </cell>
          <cell r="L1359">
            <v>60181</v>
          </cell>
        </row>
        <row r="1360">
          <cell r="C1360">
            <v>8010040457</v>
          </cell>
          <cell r="D1360" t="str">
            <v>电熔异径三通(PE配件)1.6MPa黑色 dn90×50</v>
          </cell>
          <cell r="E1360" t="str">
            <v>HDPE Electro-fusion Reducing Tee (1.6MPa) dn90x50 Black</v>
          </cell>
          <cell r="F1360">
            <v>1</v>
          </cell>
          <cell r="G1360">
            <v>61328</v>
          </cell>
          <cell r="H1360">
            <v>55251</v>
          </cell>
          <cell r="I1360">
            <v>0.15</v>
          </cell>
          <cell r="J1360">
            <v>65002</v>
          </cell>
          <cell r="K1360">
            <v>0.14</v>
          </cell>
          <cell r="L1360">
            <v>64246</v>
          </cell>
        </row>
        <row r="1361">
          <cell r="C1361">
            <v>8010040458</v>
          </cell>
          <cell r="D1361" t="str">
            <v>电熔异径三通(PE配件)1.6MPa黑色 dn90×63</v>
          </cell>
          <cell r="E1361" t="str">
            <v>HDPE Electro-fusion Reducing Tee (1.6MPa) dn90x63 Black</v>
          </cell>
          <cell r="F1361">
            <v>1</v>
          </cell>
          <cell r="G1361">
            <v>66766</v>
          </cell>
          <cell r="H1361">
            <v>60150</v>
          </cell>
          <cell r="I1361">
            <v>0.15</v>
          </cell>
          <cell r="J1361">
            <v>70765</v>
          </cell>
          <cell r="K1361">
            <v>0.14</v>
          </cell>
          <cell r="L1361">
            <v>69942</v>
          </cell>
        </row>
        <row r="1362">
          <cell r="C1362">
            <v>8010040459</v>
          </cell>
          <cell r="D1362" t="str">
            <v>电熔异径三通(PE配件)1.6MPa黑色 dn90×75</v>
          </cell>
          <cell r="E1362" t="str">
            <v>HDPE Electro-fusion Reducing Tee (1.6MPa) dn90x75 Black</v>
          </cell>
          <cell r="F1362">
            <v>1</v>
          </cell>
          <cell r="G1362">
            <v>70950</v>
          </cell>
          <cell r="H1362">
            <v>63919</v>
          </cell>
          <cell r="I1362">
            <v>0.15</v>
          </cell>
          <cell r="J1362">
            <v>75199</v>
          </cell>
          <cell r="K1362">
            <v>0.14</v>
          </cell>
          <cell r="L1362">
            <v>74325</v>
          </cell>
        </row>
        <row r="1363">
          <cell r="C1363">
            <v>8010040418</v>
          </cell>
          <cell r="D1363" t="str">
            <v>电熔异径三通(PE配件)1.6MPa黑色 dn200×50</v>
          </cell>
          <cell r="E1363" t="str">
            <v>HDPE Electro-fusion Reducing Tee (1.6MPa) dn200x50 Black</v>
          </cell>
          <cell r="F1363">
            <v>1</v>
          </cell>
          <cell r="G1363">
            <v>382707</v>
          </cell>
          <cell r="H1363">
            <v>344782</v>
          </cell>
          <cell r="I1363">
            <v>0.15</v>
          </cell>
          <cell r="J1363">
            <v>405626</v>
          </cell>
          <cell r="K1363">
            <v>0.14</v>
          </cell>
          <cell r="L1363">
            <v>400910</v>
          </cell>
        </row>
        <row r="1364">
          <cell r="C1364">
            <v>8010040420</v>
          </cell>
          <cell r="D1364" t="str">
            <v>电熔异径三通(PE配件)1.6MPa黑色 dn200×75</v>
          </cell>
          <cell r="E1364" t="str">
            <v>HDPE Electro-fusion Reducing Tee (1.6MPa) dn200x75 Black</v>
          </cell>
          <cell r="F1364">
            <v>1</v>
          </cell>
          <cell r="G1364">
            <v>399904</v>
          </cell>
          <cell r="H1364">
            <v>360274</v>
          </cell>
          <cell r="I1364">
            <v>0.15</v>
          </cell>
          <cell r="J1364">
            <v>423852</v>
          </cell>
          <cell r="K1364">
            <v>0.14</v>
          </cell>
          <cell r="L1364">
            <v>418924</v>
          </cell>
        </row>
        <row r="1365">
          <cell r="C1365">
            <v>8010040422</v>
          </cell>
          <cell r="D1365" t="str">
            <v>电熔异径三通(PE配件)1.6MPa黑色 dn250×110</v>
          </cell>
          <cell r="E1365" t="str">
            <v>HDPE Electro-fusion Reducing Tee (1.6MPa) dn250x110 Black</v>
          </cell>
          <cell r="F1365">
            <v>1</v>
          </cell>
          <cell r="G1365">
            <v>696904</v>
          </cell>
          <cell r="H1365">
            <v>627842</v>
          </cell>
          <cell r="I1365">
            <v>0.15</v>
          </cell>
          <cell r="J1365">
            <v>738638</v>
          </cell>
          <cell r="K1365">
            <v>0.14</v>
          </cell>
          <cell r="L1365">
            <v>730049</v>
          </cell>
        </row>
        <row r="1366">
          <cell r="C1366">
            <v>8010040423</v>
          </cell>
          <cell r="D1366" t="str">
            <v>电熔异径三通(PE配件)1.6MPa黑色 dn250×160</v>
          </cell>
          <cell r="E1366" t="str">
            <v>HDPE Electro-fusion Reducing Tee (1.6MPa) dn250x160 Black</v>
          </cell>
          <cell r="F1366">
            <v>1</v>
          </cell>
          <cell r="G1366">
            <v>773497</v>
          </cell>
          <cell r="H1366">
            <v>696845</v>
          </cell>
          <cell r="I1366">
            <v>0.15</v>
          </cell>
          <cell r="J1366">
            <v>819818</v>
          </cell>
          <cell r="K1366">
            <v>0.14</v>
          </cell>
          <cell r="L1366">
            <v>810285</v>
          </cell>
        </row>
        <row r="1367">
          <cell r="C1367">
            <v>8010040424</v>
          </cell>
          <cell r="D1367" t="str">
            <v>电熔异径三通(PE配件)1.6MPa黑色 dn250×200</v>
          </cell>
          <cell r="E1367" t="str">
            <v>HDPE Electro-fusion Reducing Tee (1.6MPa) dn250x200 Black</v>
          </cell>
          <cell r="F1367">
            <v>1</v>
          </cell>
          <cell r="G1367">
            <v>807819</v>
          </cell>
          <cell r="H1367">
            <v>727765</v>
          </cell>
          <cell r="I1367">
            <v>0.15</v>
          </cell>
          <cell r="J1367">
            <v>856195</v>
          </cell>
          <cell r="K1367">
            <v>0.14</v>
          </cell>
          <cell r="L1367">
            <v>846239</v>
          </cell>
        </row>
        <row r="1368">
          <cell r="C1368">
            <v>8010040425</v>
          </cell>
          <cell r="D1368" t="str">
            <v>电熔异径三通(PE配件)1.6MPa黑色 dn250×50</v>
          </cell>
          <cell r="E1368" t="str">
            <v>HDPE Electro-fusion Reducing Tee (1.6MPa) dn200x50 Black</v>
          </cell>
          <cell r="F1368">
            <v>1</v>
          </cell>
          <cell r="G1368">
            <v>566193</v>
          </cell>
          <cell r="H1368">
            <v>510084</v>
          </cell>
          <cell r="I1368">
            <v>0.15</v>
          </cell>
          <cell r="J1368">
            <v>600099</v>
          </cell>
          <cell r="K1368">
            <v>0.14</v>
          </cell>
          <cell r="L1368">
            <v>593121</v>
          </cell>
        </row>
        <row r="1369">
          <cell r="C1369">
            <v>8010040426</v>
          </cell>
          <cell r="D1369" t="str">
            <v>电熔异径三通(PE配件)1.6MPa黑色 dn250×63</v>
          </cell>
          <cell r="E1369" t="str">
            <v>HDPE Electro-fusion Reducing Tee (1.6MPa) dn250x63 Black</v>
          </cell>
          <cell r="F1369">
            <v>1</v>
          </cell>
          <cell r="G1369">
            <v>568907</v>
          </cell>
          <cell r="H1369">
            <v>512529</v>
          </cell>
          <cell r="I1369">
            <v>0.15</v>
          </cell>
          <cell r="J1369">
            <v>602976</v>
          </cell>
          <cell r="K1369">
            <v>0.14</v>
          </cell>
          <cell r="L1369">
            <v>595964</v>
          </cell>
        </row>
        <row r="1370">
          <cell r="C1370">
            <v>8010040427</v>
          </cell>
          <cell r="D1370" t="str">
            <v>电熔异径三通(PE配件)1.6MPa黑色 dn250×75</v>
          </cell>
          <cell r="E1370" t="str">
            <v>HDPE Electro-fusion Reducing Tee (1.6MPa) dn250x75 Black</v>
          </cell>
          <cell r="F1370">
            <v>1</v>
          </cell>
          <cell r="G1370">
            <v>569388</v>
          </cell>
          <cell r="H1370">
            <v>512963</v>
          </cell>
          <cell r="I1370">
            <v>0.15</v>
          </cell>
          <cell r="J1370">
            <v>603486</v>
          </cell>
          <cell r="K1370">
            <v>0.14</v>
          </cell>
          <cell r="L1370">
            <v>596469</v>
          </cell>
        </row>
        <row r="1371">
          <cell r="C1371">
            <v>8010040428</v>
          </cell>
          <cell r="D1371" t="str">
            <v>电熔异径三通(PE配件)1.6MPa黑色 dn250×90</v>
          </cell>
          <cell r="E1371" t="str">
            <v>HDPE Electro-fusion Reducing Tee (1.6MPa) dn250x90 Black</v>
          </cell>
          <cell r="F1371">
            <v>1</v>
          </cell>
          <cell r="G1371">
            <v>626043</v>
          </cell>
          <cell r="H1371">
            <v>564003</v>
          </cell>
          <cell r="I1371">
            <v>0.15</v>
          </cell>
          <cell r="J1371">
            <v>663533</v>
          </cell>
          <cell r="K1371">
            <v>0.14</v>
          </cell>
          <cell r="L1371">
            <v>655818</v>
          </cell>
        </row>
        <row r="1372">
          <cell r="C1372">
            <v>8010040429</v>
          </cell>
          <cell r="D1372" t="str">
            <v>电熔异径三通(PE配件)1.6MPa黑色 dn315×110</v>
          </cell>
          <cell r="E1372" t="str">
            <v>HDPE Electro-fusion Reducing Tee (1.6MPa) dn315x110 Black</v>
          </cell>
          <cell r="F1372">
            <v>1</v>
          </cell>
          <cell r="G1372">
            <v>1153525</v>
          </cell>
          <cell r="H1372">
            <v>1039212</v>
          </cell>
          <cell r="I1372">
            <v>0.15</v>
          </cell>
          <cell r="J1372">
            <v>1222603</v>
          </cell>
          <cell r="K1372">
            <v>0.14</v>
          </cell>
          <cell r="L1372">
            <v>1208387</v>
          </cell>
        </row>
        <row r="1373">
          <cell r="C1373">
            <v>8010040430</v>
          </cell>
          <cell r="D1373" t="str">
            <v>电熔异径三通(PE配件)1.6MPa黑色 dn315×160</v>
          </cell>
          <cell r="E1373" t="str">
            <v>HDPE Electro-fusion Reducing Tee (1.6MPa) dn315x160 Black</v>
          </cell>
          <cell r="F1373">
            <v>1</v>
          </cell>
          <cell r="G1373">
            <v>1199792</v>
          </cell>
          <cell r="H1373">
            <v>1080894</v>
          </cell>
          <cell r="I1373">
            <v>0.15</v>
          </cell>
          <cell r="J1373">
            <v>1271640</v>
          </cell>
          <cell r="K1373">
            <v>0.14</v>
          </cell>
          <cell r="L1373">
            <v>1256854</v>
          </cell>
        </row>
        <row r="1374">
          <cell r="C1374">
            <v>8010040431</v>
          </cell>
          <cell r="D1374" t="str">
            <v>电熔异径三通(PE配件)1.6MPa黑色 dn315×200</v>
          </cell>
          <cell r="E1374" t="str">
            <v>HDPE Electro-fusion Reducing Tee (1.6MPa) dn315x200 Black</v>
          </cell>
          <cell r="F1374">
            <v>1</v>
          </cell>
          <cell r="G1374">
            <v>1372267</v>
          </cell>
          <cell r="H1374">
            <v>1236277</v>
          </cell>
          <cell r="I1374">
            <v>0.15</v>
          </cell>
          <cell r="J1374">
            <v>1454444</v>
          </cell>
          <cell r="K1374">
            <v>0.14</v>
          </cell>
          <cell r="L1374">
            <v>1437532</v>
          </cell>
        </row>
        <row r="1375">
          <cell r="C1375">
            <v>8010040432</v>
          </cell>
          <cell r="D1375" t="str">
            <v>电熔异径三通(PE配件)1.6MPa黑色 dn315×250</v>
          </cell>
          <cell r="E1375" t="str">
            <v>HDPE Electro-fusion Reducing Tee (1.6MPa) dn315x250 Black</v>
          </cell>
          <cell r="F1375">
            <v>1</v>
          </cell>
          <cell r="G1375">
            <v>1415410</v>
          </cell>
          <cell r="H1375">
            <v>1275145</v>
          </cell>
          <cell r="I1375">
            <v>0.15</v>
          </cell>
          <cell r="J1375">
            <v>1500171</v>
          </cell>
          <cell r="K1375">
            <v>0.14</v>
          </cell>
          <cell r="L1375">
            <v>1482727</v>
          </cell>
        </row>
        <row r="1376">
          <cell r="C1376">
            <v>8010040433</v>
          </cell>
          <cell r="D1376" t="str">
            <v>电熔异径三通(PE配件)1.6MPa黑色 dn315×90</v>
          </cell>
          <cell r="E1376" t="str">
            <v>HDPE Electro-fusion Reducing Tee (1.6MPa) dn315x90 Black</v>
          </cell>
          <cell r="F1376">
            <v>1</v>
          </cell>
          <cell r="G1376">
            <v>1151407</v>
          </cell>
          <cell r="H1376">
            <v>1037304</v>
          </cell>
          <cell r="I1376">
            <v>0.15</v>
          </cell>
          <cell r="J1376">
            <v>1220358</v>
          </cell>
          <cell r="K1376">
            <v>0.14</v>
          </cell>
          <cell r="L1376">
            <v>1206168</v>
          </cell>
        </row>
        <row r="1377">
          <cell r="C1377">
            <v>8010040434</v>
          </cell>
          <cell r="D1377" t="str">
            <v>电熔异径三通(PE配件)1.6MPa黑色 dn32×20</v>
          </cell>
          <cell r="E1377" t="str">
            <v>HDPE Electro-fusion Reducing Tee (1.6MPa) dn32x20 Black</v>
          </cell>
          <cell r="F1377">
            <v>1</v>
          </cell>
          <cell r="G1377">
            <v>15772</v>
          </cell>
          <cell r="H1377">
            <v>14210</v>
          </cell>
          <cell r="I1377">
            <v>0.15</v>
          </cell>
          <cell r="J1377">
            <v>16718</v>
          </cell>
          <cell r="K1377">
            <v>0.14</v>
          </cell>
          <cell r="L1377">
            <v>16524</v>
          </cell>
        </row>
        <row r="1378">
          <cell r="C1378">
            <v>8010040435</v>
          </cell>
          <cell r="D1378" t="str">
            <v>电熔异径三通(PE配件)1.6MPa黑色 dn32×25</v>
          </cell>
          <cell r="E1378" t="str">
            <v>HDPE Electro-fusion Reducing Tee (1.6MPa) dn32x25 Black</v>
          </cell>
          <cell r="F1378">
            <v>1</v>
          </cell>
          <cell r="G1378">
            <v>16093</v>
          </cell>
          <cell r="H1378">
            <v>14499</v>
          </cell>
          <cell r="I1378">
            <v>0.15</v>
          </cell>
          <cell r="J1378">
            <v>17058</v>
          </cell>
          <cell r="K1378">
            <v>0.14</v>
          </cell>
          <cell r="L1378">
            <v>16860</v>
          </cell>
        </row>
        <row r="1379">
          <cell r="C1379">
            <v>8010040436</v>
          </cell>
          <cell r="D1379" t="str">
            <v>电熔异径三通(PE配件)1.6MPa黑色 dn400×110</v>
          </cell>
          <cell r="E1379" t="str">
            <v>HDPE Electro-fusion Reducing Tee (1.6MPa) dn400x110 Black</v>
          </cell>
          <cell r="F1379">
            <v>1</v>
          </cell>
          <cell r="G1379">
            <v>1839685</v>
          </cell>
          <cell r="H1379">
            <v>1657374</v>
          </cell>
          <cell r="I1379">
            <v>0.15</v>
          </cell>
          <cell r="J1379">
            <v>1949852</v>
          </cell>
          <cell r="K1379">
            <v>0.14</v>
          </cell>
          <cell r="L1379">
            <v>1927180</v>
          </cell>
        </row>
        <row r="1380">
          <cell r="C1380">
            <v>8010040437</v>
          </cell>
          <cell r="D1380" t="str">
            <v>电熔异径三通(PE配件)1.6MPa黑色 dn400×160</v>
          </cell>
          <cell r="E1380" t="str">
            <v>HDPE Electro-fusion Reducing Tee (1.6MPa) dn400x160 Black</v>
          </cell>
          <cell r="F1380">
            <v>1</v>
          </cell>
          <cell r="G1380">
            <v>2157264</v>
          </cell>
          <cell r="H1380">
            <v>1943482</v>
          </cell>
          <cell r="I1380">
            <v>0.15</v>
          </cell>
          <cell r="J1380">
            <v>2286450</v>
          </cell>
          <cell r="K1380">
            <v>0.14</v>
          </cell>
          <cell r="L1380">
            <v>2259863</v>
          </cell>
        </row>
        <row r="1381">
          <cell r="C1381">
            <v>8010040438</v>
          </cell>
          <cell r="D1381" t="str">
            <v>电熔异径三通(PE配件)1.6MPa黑色 dn400×200</v>
          </cell>
          <cell r="E1381" t="str">
            <v>HDPE Electro-fusion Reducing Tee (1.6MPa) dn400x200 Black</v>
          </cell>
          <cell r="F1381">
            <v>1</v>
          </cell>
          <cell r="G1381">
            <v>2207128</v>
          </cell>
          <cell r="H1381">
            <v>1988404</v>
          </cell>
          <cell r="I1381">
            <v>0.15</v>
          </cell>
          <cell r="J1381">
            <v>2339299</v>
          </cell>
          <cell r="K1381">
            <v>0.14</v>
          </cell>
          <cell r="L1381">
            <v>2312098</v>
          </cell>
        </row>
        <row r="1382">
          <cell r="C1382">
            <v>8010040439</v>
          </cell>
          <cell r="D1382" t="str">
            <v>电熔异径三通(PE配件)1.6MPa黑色 dn400×250</v>
          </cell>
          <cell r="E1382" t="str">
            <v>HDPE Electro-fusion Reducing Tee (1.6MPa) dn400x250 Black</v>
          </cell>
          <cell r="F1382">
            <v>1</v>
          </cell>
          <cell r="G1382">
            <v>2694956</v>
          </cell>
          <cell r="H1382">
            <v>2427889</v>
          </cell>
          <cell r="I1382">
            <v>0.15</v>
          </cell>
          <cell r="J1382">
            <v>2856340</v>
          </cell>
          <cell r="K1382">
            <v>0.14</v>
          </cell>
          <cell r="L1382">
            <v>2823127</v>
          </cell>
        </row>
        <row r="1383">
          <cell r="C1383">
            <v>8010040440</v>
          </cell>
          <cell r="D1383" t="str">
            <v>电熔异径三通(PE配件)1.6MPa黑色 dn400×315</v>
          </cell>
          <cell r="E1383" t="str">
            <v>HDPE Electro-fusion Reducing Tee (1.6MPa) dn400x315 Black</v>
          </cell>
          <cell r="F1383">
            <v>1</v>
          </cell>
          <cell r="G1383">
            <v>2875290</v>
          </cell>
          <cell r="H1383">
            <v>2590352</v>
          </cell>
          <cell r="I1383">
            <v>0.15</v>
          </cell>
          <cell r="J1383">
            <v>3047473</v>
          </cell>
          <cell r="K1383">
            <v>0.14</v>
          </cell>
          <cell r="L1383">
            <v>3012038</v>
          </cell>
        </row>
        <row r="1384">
          <cell r="C1384">
            <v>8010040441</v>
          </cell>
          <cell r="D1384" t="str">
            <v>电熔异径三通(PE配件)1.6MPa黑色 dn40×20</v>
          </cell>
          <cell r="E1384" t="str">
            <v>HDPE Electro-fusion Reducing Tee (1.6MPa) dn40x20 Black</v>
          </cell>
          <cell r="F1384">
            <v>1</v>
          </cell>
          <cell r="G1384">
            <v>23499</v>
          </cell>
          <cell r="H1384">
            <v>21171</v>
          </cell>
          <cell r="I1384">
            <v>0.15</v>
          </cell>
          <cell r="J1384">
            <v>24908</v>
          </cell>
          <cell r="K1384">
            <v>0.14</v>
          </cell>
          <cell r="L1384">
            <v>24618</v>
          </cell>
        </row>
        <row r="1385">
          <cell r="C1385">
            <v>8010040442</v>
          </cell>
          <cell r="D1385" t="str">
            <v>电熔异径三通(PE配件)1.6MPa黑色 dn40×25</v>
          </cell>
          <cell r="E1385" t="str">
            <v>HDPE Electro-fusion Reducing Tee (1.6MPa) dn40x25 Black</v>
          </cell>
          <cell r="F1385">
            <v>1</v>
          </cell>
          <cell r="G1385">
            <v>23561</v>
          </cell>
          <cell r="H1385">
            <v>21227</v>
          </cell>
          <cell r="I1385">
            <v>0.15</v>
          </cell>
          <cell r="J1385">
            <v>24973</v>
          </cell>
          <cell r="K1385">
            <v>0.14</v>
          </cell>
          <cell r="L1385">
            <v>24683</v>
          </cell>
        </row>
        <row r="1386">
          <cell r="C1386">
            <v>8010040443</v>
          </cell>
          <cell r="D1386" t="str">
            <v>电熔异径三通(PE配件)1.6MPa黑色 dn40×32</v>
          </cell>
          <cell r="E1386" t="str">
            <v>HDPE Electro-fusion Reducing Tee (1.6MPa) dn40x32 Black</v>
          </cell>
          <cell r="F1386">
            <v>1</v>
          </cell>
          <cell r="G1386">
            <v>24585</v>
          </cell>
          <cell r="H1386">
            <v>22149</v>
          </cell>
          <cell r="I1386">
            <v>0.15</v>
          </cell>
          <cell r="J1386">
            <v>26058</v>
          </cell>
          <cell r="K1386">
            <v>0.14</v>
          </cell>
          <cell r="L1386">
            <v>25755</v>
          </cell>
        </row>
        <row r="1387">
          <cell r="C1387">
            <v>8010040444</v>
          </cell>
          <cell r="D1387" t="str">
            <v>电熔异径三通(PE配件)1.6MPa黑色 dn50×20</v>
          </cell>
          <cell r="E1387" t="str">
            <v>HDPE Electro-fusion Reducing Tee (1.6MPa) dn50x20 Black</v>
          </cell>
          <cell r="F1387">
            <v>1</v>
          </cell>
          <cell r="G1387">
            <v>32667</v>
          </cell>
          <cell r="H1387">
            <v>29430</v>
          </cell>
          <cell r="I1387">
            <v>0.15</v>
          </cell>
          <cell r="J1387">
            <v>34624</v>
          </cell>
          <cell r="K1387">
            <v>0.14</v>
          </cell>
          <cell r="L1387">
            <v>34221</v>
          </cell>
        </row>
        <row r="1388">
          <cell r="C1388">
            <v>8010040445</v>
          </cell>
          <cell r="D1388" t="str">
            <v>电熔异径三通(PE配件)1.6MPa黑色 dn50×25</v>
          </cell>
          <cell r="E1388" t="str">
            <v>HDPE Electro-fusion Reducing Tee (1.6MPa) dn50x25 Black</v>
          </cell>
          <cell r="F1388">
            <v>1</v>
          </cell>
          <cell r="G1388">
            <v>32960</v>
          </cell>
          <cell r="H1388">
            <v>29694</v>
          </cell>
          <cell r="I1388">
            <v>0.15</v>
          </cell>
          <cell r="J1388">
            <v>34935</v>
          </cell>
          <cell r="K1388">
            <v>0.14</v>
          </cell>
          <cell r="L1388">
            <v>34528</v>
          </cell>
        </row>
        <row r="1389">
          <cell r="C1389">
            <v>8010040446</v>
          </cell>
          <cell r="D1389" t="str">
            <v>电熔异径三通(PE配件)1.6MPa黑色 dn50×32</v>
          </cell>
          <cell r="E1389" t="str">
            <v>HDPE Electro-fusion Reducing Tee (1.6MPa) dn50x32 Black</v>
          </cell>
          <cell r="F1389">
            <v>1</v>
          </cell>
          <cell r="G1389">
            <v>34055</v>
          </cell>
          <cell r="H1389">
            <v>30681</v>
          </cell>
          <cell r="I1389">
            <v>0.15</v>
          </cell>
          <cell r="J1389">
            <v>36096</v>
          </cell>
          <cell r="K1389">
            <v>0.14</v>
          </cell>
          <cell r="L1389">
            <v>35676</v>
          </cell>
        </row>
        <row r="1390">
          <cell r="C1390">
            <v>8010040447</v>
          </cell>
          <cell r="D1390" t="str">
            <v>电熔异径三通(PE配件)1.6MPa黑色 dn50×40</v>
          </cell>
          <cell r="E1390" t="str">
            <v>HDPE Electro-fusion Reducing Tee (1.6MPa) dn50x40 Black</v>
          </cell>
          <cell r="F1390">
            <v>1</v>
          </cell>
          <cell r="G1390">
            <v>35666</v>
          </cell>
          <cell r="H1390">
            <v>32132</v>
          </cell>
          <cell r="I1390">
            <v>0.15</v>
          </cell>
          <cell r="J1390">
            <v>37803</v>
          </cell>
          <cell r="K1390">
            <v>0.14</v>
          </cell>
          <cell r="L1390">
            <v>37363</v>
          </cell>
        </row>
        <row r="1391">
          <cell r="C1391">
            <v>8010040448</v>
          </cell>
          <cell r="D1391" t="str">
            <v>电熔异径三通(PE配件)1.6MPa黑色 dn63×20</v>
          </cell>
          <cell r="E1391" t="str">
            <v>HDPE Electro-fusion Reducing Tee (1.6MPa) dn63x20 Black</v>
          </cell>
          <cell r="F1391">
            <v>1</v>
          </cell>
          <cell r="G1391">
            <v>27326</v>
          </cell>
          <cell r="H1391">
            <v>24619</v>
          </cell>
          <cell r="I1391">
            <v>0.15</v>
          </cell>
          <cell r="J1391">
            <v>28964</v>
          </cell>
          <cell r="K1391">
            <v>0.14</v>
          </cell>
          <cell r="L1391">
            <v>28627</v>
          </cell>
        </row>
        <row r="1392">
          <cell r="C1392">
            <v>8010040449</v>
          </cell>
          <cell r="D1392" t="str">
            <v>电熔异径三通(PE配件)1.6MPa黑色 dn63×25</v>
          </cell>
          <cell r="E1392" t="str">
            <v>HDPE Electro-fusion Reducing Tee (1.6MPa) dn63x25 Black</v>
          </cell>
          <cell r="F1392">
            <v>1</v>
          </cell>
          <cell r="G1392">
            <v>28937</v>
          </cell>
          <cell r="H1392">
            <v>26070</v>
          </cell>
          <cell r="I1392">
            <v>0.15</v>
          </cell>
          <cell r="J1392">
            <v>30671</v>
          </cell>
          <cell r="K1392">
            <v>0.14</v>
          </cell>
          <cell r="L1392">
            <v>30314</v>
          </cell>
        </row>
        <row r="1393">
          <cell r="C1393">
            <v>8010045632</v>
          </cell>
          <cell r="D1393" t="str">
            <v>电熔旁通鞍型(PE配件)1.6MPa黑色 dn200×63</v>
          </cell>
          <cell r="E1393" t="str">
            <v>HDPE Electro-fusion Saddle Branch (1.6MPa) dn200x63 Black</v>
          </cell>
          <cell r="F1393">
            <v>1</v>
          </cell>
          <cell r="G1393">
            <v>319448</v>
          </cell>
          <cell r="H1393">
            <v>287791</v>
          </cell>
          <cell r="I1393">
            <v>0.15</v>
          </cell>
          <cell r="J1393">
            <v>338578</v>
          </cell>
          <cell r="K1393">
            <v>0.14</v>
          </cell>
          <cell r="L1393">
            <v>334641</v>
          </cell>
        </row>
        <row r="1394">
          <cell r="C1394">
            <v>8010043995</v>
          </cell>
          <cell r="D1394" t="str">
            <v>电熔旁通鞍型(PE配件)1.6MPa黑色 dn160×32</v>
          </cell>
          <cell r="E1394" t="str">
            <v>HDPE Electro-fusion Saddle Branch (1.6MPa) dn160x32 Black</v>
          </cell>
          <cell r="F1394">
            <v>1</v>
          </cell>
          <cell r="G1394">
            <v>217834</v>
          </cell>
          <cell r="H1394">
            <v>196247</v>
          </cell>
          <cell r="I1394">
            <v>0.15</v>
          </cell>
          <cell r="J1394">
            <v>230879</v>
          </cell>
          <cell r="K1394">
            <v>0.14</v>
          </cell>
          <cell r="L1394">
            <v>228195</v>
          </cell>
        </row>
        <row r="1395">
          <cell r="C1395">
            <v>8010041512</v>
          </cell>
          <cell r="D1395" t="str">
            <v>电熔旁通鞍型(PE配件)1.6MPa黑色 dn110×40</v>
          </cell>
          <cell r="E1395" t="str">
            <v>HDPE Electro-fusion Saddle Branch (1.6MPa) dn110x40 Black</v>
          </cell>
          <cell r="F1395">
            <v>1</v>
          </cell>
          <cell r="G1395">
            <v>217264</v>
          </cell>
          <cell r="H1395">
            <v>195734</v>
          </cell>
          <cell r="I1395">
            <v>0.15</v>
          </cell>
          <cell r="J1395">
            <v>230276</v>
          </cell>
          <cell r="K1395">
            <v>0.14</v>
          </cell>
          <cell r="L1395">
            <v>227598</v>
          </cell>
        </row>
        <row r="1396">
          <cell r="C1396">
            <v>8010041360</v>
          </cell>
          <cell r="D1396" t="str">
            <v>电熔旁通鞍型(PE配件)1.6MPa黑色 dn110×63</v>
          </cell>
          <cell r="E1396" t="str">
            <v>HDPE Electro-fusion Saddle Branch (1.6MPa) dn110x63 Black</v>
          </cell>
          <cell r="F1396">
            <v>1</v>
          </cell>
          <cell r="G1396">
            <v>243051</v>
          </cell>
          <cell r="H1396">
            <v>218965</v>
          </cell>
          <cell r="I1396">
            <v>0.15</v>
          </cell>
          <cell r="J1396">
            <v>257606</v>
          </cell>
          <cell r="K1396">
            <v>0.14</v>
          </cell>
          <cell r="L1396">
            <v>254611</v>
          </cell>
        </row>
        <row r="1397">
          <cell r="C1397">
            <v>8010041361</v>
          </cell>
          <cell r="D1397" t="str">
            <v>电熔旁通鞍型(PE配件)1.6MPa黑色 dn160×63</v>
          </cell>
          <cell r="E1397" t="str">
            <v>HDPE Electro-fusion Saddle Branch (1.6MPa) dn160x63 Black</v>
          </cell>
          <cell r="F1397">
            <v>1</v>
          </cell>
          <cell r="G1397">
            <v>276198</v>
          </cell>
          <cell r="H1397">
            <v>248828</v>
          </cell>
          <cell r="I1397">
            <v>0.15</v>
          </cell>
          <cell r="J1397">
            <v>292739</v>
          </cell>
          <cell r="K1397">
            <v>0.14</v>
          </cell>
          <cell r="L1397">
            <v>289335</v>
          </cell>
        </row>
        <row r="1398">
          <cell r="C1398">
            <v>8010041364</v>
          </cell>
          <cell r="D1398" t="str">
            <v>电熔旁通鞍型(PE配件)1.6MPa黑色 dn63×32</v>
          </cell>
          <cell r="E1398" t="str">
            <v>HDPE Electro-fusion Saddle Branch (1.6MPa) dn63x32 Black</v>
          </cell>
          <cell r="F1398">
            <v>1</v>
          </cell>
          <cell r="G1398">
            <v>138865</v>
          </cell>
          <cell r="H1398">
            <v>125104</v>
          </cell>
          <cell r="I1398">
            <v>0.15</v>
          </cell>
          <cell r="J1398">
            <v>147182</v>
          </cell>
          <cell r="K1398">
            <v>0.14</v>
          </cell>
          <cell r="L1398">
            <v>145470</v>
          </cell>
        </row>
        <row r="1399">
          <cell r="C1399">
            <v>8010041365</v>
          </cell>
          <cell r="D1399" t="str">
            <v>电熔旁通鞍型(PE配件)1.6MPa黑色 dn90×63</v>
          </cell>
          <cell r="E1399" t="str">
            <v>HDPE Electro-fusion Saddle Branch (1.6MPa) dn90x63 Black</v>
          </cell>
          <cell r="F1399">
            <v>1</v>
          </cell>
          <cell r="G1399">
            <v>213802</v>
          </cell>
          <cell r="H1399">
            <v>192615</v>
          </cell>
          <cell r="I1399">
            <v>0.15</v>
          </cell>
          <cell r="J1399">
            <v>226606</v>
          </cell>
          <cell r="K1399">
            <v>0.14</v>
          </cell>
          <cell r="L1399">
            <v>223971</v>
          </cell>
        </row>
        <row r="1400">
          <cell r="C1400">
            <v>8010042724</v>
          </cell>
          <cell r="D1400" t="str">
            <v>电熔旁通鞍型(PE配件)1.6MPa黑色 dn200×32</v>
          </cell>
          <cell r="E1400" t="str">
            <v>HDPE Electro-fusion Saddle Branch (1.6MPa) dn200x32 Black</v>
          </cell>
          <cell r="F1400">
            <v>1</v>
          </cell>
          <cell r="G1400">
            <v>252717</v>
          </cell>
          <cell r="H1400">
            <v>227673</v>
          </cell>
          <cell r="I1400">
            <v>0.15</v>
          </cell>
          <cell r="J1400">
            <v>267851</v>
          </cell>
          <cell r="K1400">
            <v>0.14</v>
          </cell>
          <cell r="L1400">
            <v>264737</v>
          </cell>
        </row>
        <row r="1401">
          <cell r="C1401">
            <v>8010042710</v>
          </cell>
          <cell r="D1401" t="str">
            <v>电熔旁通鞍型(PE配件)1.6MPa黑色 dn63×25</v>
          </cell>
          <cell r="E1401" t="str">
            <v>HDPE Electro-fusion Saddle Branch (1.6MPa) dn63x25 Black</v>
          </cell>
          <cell r="F1401">
            <v>1</v>
          </cell>
          <cell r="G1401">
            <v>138215</v>
          </cell>
          <cell r="H1401">
            <v>124519</v>
          </cell>
          <cell r="I1401">
            <v>0.15</v>
          </cell>
          <cell r="J1401">
            <v>146493</v>
          </cell>
          <cell r="K1401">
            <v>0.14</v>
          </cell>
          <cell r="L1401">
            <v>144790</v>
          </cell>
        </row>
        <row r="1402">
          <cell r="C1402">
            <v>8010042712</v>
          </cell>
          <cell r="D1402" t="str">
            <v>电熔旁通鞍型(PE配件)1.6MPa黑色 dn75×32</v>
          </cell>
          <cell r="E1402" t="str">
            <v>HDPE Electro-fusion Saddle Branch (1.6MPa) dn75x32 Black</v>
          </cell>
          <cell r="F1402">
            <v>1</v>
          </cell>
          <cell r="G1402">
            <v>146359</v>
          </cell>
          <cell r="H1402">
            <v>131855</v>
          </cell>
          <cell r="I1402">
            <v>0.15</v>
          </cell>
          <cell r="J1402">
            <v>155124</v>
          </cell>
          <cell r="K1402">
            <v>0.14</v>
          </cell>
          <cell r="L1402">
            <v>153320</v>
          </cell>
        </row>
        <row r="1403">
          <cell r="C1403">
            <v>8010042713</v>
          </cell>
          <cell r="D1403" t="str">
            <v>电熔旁通鞍型(PE配件)1.6MPa黑色 dn90×32</v>
          </cell>
          <cell r="E1403" t="str">
            <v>HDPE Electro-fusion Saddle Branch (1.6MPa) dn90x32 Black</v>
          </cell>
          <cell r="F1403">
            <v>1</v>
          </cell>
          <cell r="G1403">
            <v>158020</v>
          </cell>
          <cell r="H1403">
            <v>142361</v>
          </cell>
          <cell r="I1403">
            <v>0.15</v>
          </cell>
          <cell r="J1403">
            <v>167484</v>
          </cell>
          <cell r="K1403">
            <v>0.14</v>
          </cell>
          <cell r="L1403">
            <v>165537</v>
          </cell>
        </row>
        <row r="1404">
          <cell r="C1404">
            <v>8010042715</v>
          </cell>
          <cell r="D1404" t="str">
            <v>电熔旁通鞍型(PE配件)1.6MPa黑色 dn110×32</v>
          </cell>
          <cell r="E1404" t="str">
            <v>HDPE Electro-fusion Saddle Branch (1.6MPa) dn110x32 Black</v>
          </cell>
          <cell r="F1404">
            <v>1</v>
          </cell>
          <cell r="G1404">
            <v>172003</v>
          </cell>
          <cell r="H1404">
            <v>154958</v>
          </cell>
          <cell r="I1404">
            <v>0.15</v>
          </cell>
          <cell r="J1404">
            <v>182304</v>
          </cell>
          <cell r="K1404">
            <v>0.14</v>
          </cell>
          <cell r="L1404">
            <v>180184</v>
          </cell>
        </row>
        <row r="1405">
          <cell r="C1405">
            <v>8010042718</v>
          </cell>
          <cell r="D1405" t="str">
            <v>电熔旁通鞍型(PE配件)1.6MPa黑色 dn125×32</v>
          </cell>
          <cell r="E1405" t="str">
            <v>HDPE Electro-fusion Saddle Branch (1.6MPa) dn125x32 Black</v>
          </cell>
          <cell r="F1405">
            <v>1</v>
          </cell>
          <cell r="G1405">
            <v>191345</v>
          </cell>
          <cell r="H1405">
            <v>172383</v>
          </cell>
          <cell r="I1405">
            <v>0.15</v>
          </cell>
          <cell r="J1405">
            <v>202804</v>
          </cell>
          <cell r="K1405">
            <v>0.14</v>
          </cell>
          <cell r="L1405">
            <v>200446</v>
          </cell>
        </row>
        <row r="1406">
          <cell r="C1406">
            <v>8010042719</v>
          </cell>
          <cell r="D1406" t="str">
            <v>电熔旁通鞍型(PE配件)1.6MPa黑色 dn125×63</v>
          </cell>
          <cell r="E1406" t="str">
            <v>HDPE Electro-fusion Saddle Branch (1.6MPa) dn125x63 Black</v>
          </cell>
          <cell r="F1406">
            <v>1</v>
          </cell>
          <cell r="G1406">
            <v>248738</v>
          </cell>
          <cell r="H1406">
            <v>224089</v>
          </cell>
          <cell r="I1406">
            <v>0.15</v>
          </cell>
          <cell r="J1406">
            <v>263635</v>
          </cell>
          <cell r="K1406">
            <v>0.14</v>
          </cell>
          <cell r="L1406">
            <v>260569</v>
          </cell>
        </row>
        <row r="1407">
          <cell r="C1407">
            <v>8010042722</v>
          </cell>
          <cell r="D1407" t="str">
            <v>电熔旁通鞍型(PE配件)1.6MPa黑色 dn180×32</v>
          </cell>
          <cell r="E1407" t="str">
            <v>HDPE Electro-fusion Saddle Branch (1.6MPa) dn180x32 Black</v>
          </cell>
          <cell r="F1407">
            <v>1</v>
          </cell>
          <cell r="G1407">
            <v>225266</v>
          </cell>
          <cell r="H1407">
            <v>202943</v>
          </cell>
          <cell r="I1407">
            <v>0.15</v>
          </cell>
          <cell r="J1407">
            <v>238757</v>
          </cell>
          <cell r="K1407">
            <v>0.14</v>
          </cell>
          <cell r="L1407">
            <v>235981</v>
          </cell>
        </row>
        <row r="1408">
          <cell r="C1408">
            <v>8010042723</v>
          </cell>
          <cell r="D1408" t="str">
            <v>电熔旁通鞍型(PE配件)1.6MPa黑色 dn180×63</v>
          </cell>
          <cell r="E1408" t="str">
            <v>HDPE Electro-fusion Saddle Branch (1.6MPa) dn180x63 Black</v>
          </cell>
          <cell r="F1408">
            <v>1</v>
          </cell>
          <cell r="G1408">
            <v>292086</v>
          </cell>
          <cell r="H1408">
            <v>263141</v>
          </cell>
          <cell r="I1408">
            <v>0.15</v>
          </cell>
          <cell r="J1408">
            <v>309578</v>
          </cell>
          <cell r="K1408">
            <v>0.14</v>
          </cell>
          <cell r="L1408">
            <v>305978</v>
          </cell>
        </row>
        <row r="1409">
          <cell r="C1409">
            <v>8010041366</v>
          </cell>
          <cell r="D1409" t="str">
            <v>电熔直通鞍型(PE配件)1.6MPa黑色 dn110×63</v>
          </cell>
          <cell r="E1409" t="str">
            <v>HDPE Electro-fusion Straight Saddle (1.6MPa) dn110x63 Black</v>
          </cell>
          <cell r="F1409">
            <v>1</v>
          </cell>
          <cell r="G1409">
            <v>96798</v>
          </cell>
          <cell r="H1409">
            <v>87206</v>
          </cell>
          <cell r="I1409">
            <v>0.15</v>
          </cell>
          <cell r="J1409">
            <v>102596</v>
          </cell>
          <cell r="K1409">
            <v>0.14</v>
          </cell>
          <cell r="L1409">
            <v>101403</v>
          </cell>
        </row>
        <row r="1410">
          <cell r="C1410">
            <v>8010041367</v>
          </cell>
          <cell r="D1410" t="str">
            <v>电熔直通鞍型(PE配件)1.6MPa黑色 dn125×63</v>
          </cell>
          <cell r="E1410" t="str">
            <v>HDPE Electro-fusion Straight Saddle (1.6MPa) dn125x63 Black</v>
          </cell>
          <cell r="F1410">
            <v>1</v>
          </cell>
          <cell r="G1410">
            <v>102958</v>
          </cell>
          <cell r="H1410">
            <v>92755</v>
          </cell>
          <cell r="I1410">
            <v>0.15</v>
          </cell>
          <cell r="J1410">
            <v>109124</v>
          </cell>
          <cell r="K1410">
            <v>0.14</v>
          </cell>
          <cell r="L1410">
            <v>107855</v>
          </cell>
        </row>
        <row r="1411">
          <cell r="C1411">
            <v>8010041368</v>
          </cell>
          <cell r="D1411" t="str">
            <v>电熔直通鞍型(PE配件)1.6MPa黑色 dn160×63</v>
          </cell>
          <cell r="E1411" t="str">
            <v>HDPE Electro-fusion Straight Saddle (1.6MPa) dn160x63 Black</v>
          </cell>
          <cell r="F1411">
            <v>1</v>
          </cell>
          <cell r="G1411">
            <v>114155</v>
          </cell>
          <cell r="H1411">
            <v>102843</v>
          </cell>
          <cell r="I1411">
            <v>0.15</v>
          </cell>
          <cell r="J1411">
            <v>120992</v>
          </cell>
          <cell r="K1411">
            <v>0.14</v>
          </cell>
          <cell r="L1411">
            <v>119585</v>
          </cell>
        </row>
        <row r="1412">
          <cell r="C1412">
            <v>8010041369</v>
          </cell>
          <cell r="D1412" t="str">
            <v>电熔直通鞍型(PE配件)1.6MPa黑色 dn200×63</v>
          </cell>
          <cell r="E1412" t="str">
            <v>HDPE Electro-fusion Straight Saddle (1.6MPa) dn200x63 Black</v>
          </cell>
          <cell r="F1412">
            <v>1</v>
          </cell>
          <cell r="G1412">
            <v>152759</v>
          </cell>
          <cell r="H1412">
            <v>137621</v>
          </cell>
          <cell r="I1412">
            <v>0.15</v>
          </cell>
          <cell r="J1412">
            <v>161908</v>
          </cell>
          <cell r="K1412">
            <v>0.14</v>
          </cell>
          <cell r="L1412">
            <v>160025</v>
          </cell>
        </row>
        <row r="1413">
          <cell r="C1413">
            <v>8010041374</v>
          </cell>
          <cell r="D1413" t="str">
            <v>电熔直通鞍型(PE配件)1.6MPa黑色 dn90×63</v>
          </cell>
          <cell r="E1413" t="str">
            <v>HDPE Electro-fusion Straight Saddle (1.6MPa) dn90x63 Black</v>
          </cell>
          <cell r="F1413">
            <v>1</v>
          </cell>
          <cell r="G1413">
            <v>93612</v>
          </cell>
          <cell r="H1413">
            <v>84336</v>
          </cell>
          <cell r="I1413">
            <v>0.15</v>
          </cell>
          <cell r="J1413">
            <v>99219</v>
          </cell>
          <cell r="K1413">
            <v>0.14</v>
          </cell>
          <cell r="L1413">
            <v>98066</v>
          </cell>
        </row>
        <row r="1414">
          <cell r="C1414">
            <v>8010042696</v>
          </cell>
          <cell r="D1414" t="str">
            <v>电熔直通鞍型(PE配件)1.6MPa黑色 dn75×63</v>
          </cell>
          <cell r="E1414" t="str">
            <v>HDPE Electro-fusion Straight Saddle (1.6MPa) dn75x63 Black</v>
          </cell>
          <cell r="F1414">
            <v>1</v>
          </cell>
          <cell r="G1414">
            <v>91075</v>
          </cell>
          <cell r="H1414">
            <v>82050</v>
          </cell>
          <cell r="I1414">
            <v>0.15</v>
          </cell>
          <cell r="J1414">
            <v>96530</v>
          </cell>
          <cell r="K1414">
            <v>0.14</v>
          </cell>
          <cell r="L1414">
            <v>95407</v>
          </cell>
        </row>
        <row r="1415">
          <cell r="C1415">
            <v>8010042701</v>
          </cell>
          <cell r="D1415" t="str">
            <v>电熔直通鞍型(PE配件)1.6MPa黑色 dn180×63</v>
          </cell>
          <cell r="E1415" t="str">
            <v>HDPE Electro-fusion Straight Saddle (1.6MPa) dn180x63 Black</v>
          </cell>
          <cell r="F1415">
            <v>1</v>
          </cell>
          <cell r="G1415">
            <v>139603</v>
          </cell>
          <cell r="H1415">
            <v>125769</v>
          </cell>
          <cell r="I1415">
            <v>0.15</v>
          </cell>
          <cell r="J1415">
            <v>147964</v>
          </cell>
          <cell r="K1415">
            <v>0.14</v>
          </cell>
          <cell r="L1415">
            <v>146244</v>
          </cell>
        </row>
        <row r="1416">
          <cell r="C1416">
            <v>8010041353</v>
          </cell>
          <cell r="D1416" t="str">
            <v>电熔封堵鞍型(PE配件)1.6MPa黑色 dn110</v>
          </cell>
          <cell r="E1416" t="str">
            <v>HDPE Electro-fusion Sealing Saddle (1.6MPa) dn110 Black</v>
          </cell>
          <cell r="F1416">
            <v>1</v>
          </cell>
          <cell r="G1416">
            <v>232565</v>
          </cell>
          <cell r="H1416">
            <v>209519</v>
          </cell>
          <cell r="I1416">
            <v>0.15</v>
          </cell>
          <cell r="J1416">
            <v>246493</v>
          </cell>
          <cell r="K1416">
            <v>0.14</v>
          </cell>
          <cell r="L1416">
            <v>243627</v>
          </cell>
        </row>
        <row r="1417">
          <cell r="C1417">
            <v>8010041354</v>
          </cell>
          <cell r="D1417" t="str">
            <v>电熔封堵鞍型(PE配件)1.6MPa黑色 dn125</v>
          </cell>
          <cell r="E1417" t="str">
            <v>HDPE Electro-fusion Sealing Saddle (1.6MPa) dn125 Black</v>
          </cell>
          <cell r="F1417">
            <v>1</v>
          </cell>
          <cell r="G1417">
            <v>329186</v>
          </cell>
          <cell r="H1417">
            <v>296564</v>
          </cell>
          <cell r="I1417">
            <v>0.15</v>
          </cell>
          <cell r="J1417">
            <v>348899</v>
          </cell>
          <cell r="K1417">
            <v>0.14</v>
          </cell>
          <cell r="L1417">
            <v>344842</v>
          </cell>
        </row>
        <row r="1418">
          <cell r="C1418">
            <v>8010041355</v>
          </cell>
          <cell r="D1418" t="str">
            <v>电熔封堵鞍型(PE配件)1.6MPa黑色 dn160</v>
          </cell>
          <cell r="E1418" t="str">
            <v>HDPE Electro-fusion Sealing Saddle (1.6MPa) dn160 Black</v>
          </cell>
          <cell r="F1418">
            <v>1</v>
          </cell>
          <cell r="G1418">
            <v>282455</v>
          </cell>
          <cell r="H1418">
            <v>254464</v>
          </cell>
          <cell r="I1418">
            <v>0.15</v>
          </cell>
          <cell r="J1418">
            <v>299370</v>
          </cell>
          <cell r="K1418">
            <v>0.14</v>
          </cell>
          <cell r="L1418">
            <v>295889</v>
          </cell>
        </row>
        <row r="1419">
          <cell r="C1419">
            <v>8010041356</v>
          </cell>
          <cell r="D1419" t="str">
            <v>电熔封堵鞍型(PE配件)1.6MPa黑色 dn200</v>
          </cell>
          <cell r="E1419" t="str">
            <v>HDPE Electro-fusion Sealing Saddle (1.6MPa) dn200 Black</v>
          </cell>
          <cell r="F1419">
            <v>1</v>
          </cell>
          <cell r="G1419">
            <v>323071</v>
          </cell>
          <cell r="H1419">
            <v>291055</v>
          </cell>
          <cell r="I1419">
            <v>0.15</v>
          </cell>
          <cell r="J1419">
            <v>342418</v>
          </cell>
          <cell r="K1419">
            <v>0.14</v>
          </cell>
          <cell r="L1419">
            <v>338437</v>
          </cell>
        </row>
        <row r="1420">
          <cell r="C1420">
            <v>8010041357</v>
          </cell>
          <cell r="D1420" t="str">
            <v>电熔封堵鞍型(PE配件)1.6MPa黑色 dn250</v>
          </cell>
          <cell r="E1420" t="str">
            <v>HDPE Electro-fusion Sealing Saddle (1.6MPa) dn250 Black</v>
          </cell>
          <cell r="F1420">
            <v>1</v>
          </cell>
          <cell r="G1420">
            <v>651847</v>
          </cell>
          <cell r="H1420">
            <v>587250</v>
          </cell>
          <cell r="I1420">
            <v>0.15</v>
          </cell>
          <cell r="J1420">
            <v>690883</v>
          </cell>
          <cell r="K1420">
            <v>0.14</v>
          </cell>
          <cell r="L1420">
            <v>682849</v>
          </cell>
        </row>
        <row r="1421">
          <cell r="C1421">
            <v>8010041358</v>
          </cell>
          <cell r="D1421" t="str">
            <v>电熔封堵鞍型(PE配件)1.6MPa黑色 dn315</v>
          </cell>
          <cell r="E1421" t="str">
            <v>HDPE Electro-fusion Sealing Saddle (1.6MPa) dn315 Black</v>
          </cell>
          <cell r="F1421">
            <v>1</v>
          </cell>
          <cell r="G1421">
            <v>974802</v>
          </cell>
          <cell r="H1421">
            <v>878200</v>
          </cell>
          <cell r="I1421">
            <v>0.15</v>
          </cell>
          <cell r="J1421">
            <v>1033177</v>
          </cell>
          <cell r="K1421">
            <v>0.14</v>
          </cell>
          <cell r="L1421">
            <v>1021163</v>
          </cell>
        </row>
        <row r="1422">
          <cell r="C1422">
            <v>8010041359</v>
          </cell>
          <cell r="D1422" t="str">
            <v>电熔封堵鞍型(PE配件)1.6MPa黑色 dn90</v>
          </cell>
          <cell r="E1422" t="str">
            <v>HDPE Electro-fusion Sealing Saddle (1.6MPa) dn90 Black</v>
          </cell>
          <cell r="F1422">
            <v>1</v>
          </cell>
          <cell r="G1422">
            <v>216018</v>
          </cell>
          <cell r="H1422">
            <v>194611</v>
          </cell>
          <cell r="I1422">
            <v>0.15</v>
          </cell>
          <cell r="J1422">
            <v>228955</v>
          </cell>
          <cell r="K1422">
            <v>0.14</v>
          </cell>
          <cell r="L1422">
            <v>226292</v>
          </cell>
        </row>
        <row r="1423">
          <cell r="C1423">
            <v>8010043578</v>
          </cell>
          <cell r="D1423" t="str">
            <v>45°对接弯头(PE配件)SDR11(1.6MPa)黑色 dn63</v>
          </cell>
          <cell r="E1423" t="str">
            <v>HDPE Butt-Fusion 45° Elbow (1.6MPa) SDR11 dn63 Black</v>
          </cell>
          <cell r="F1423">
            <v>1</v>
          </cell>
          <cell r="G1423">
            <v>30433</v>
          </cell>
          <cell r="H1423">
            <v>27418</v>
          </cell>
          <cell r="I1423">
            <v>0.15</v>
          </cell>
          <cell r="J1423">
            <v>32257</v>
          </cell>
          <cell r="K1423">
            <v>0.14</v>
          </cell>
          <cell r="L1423">
            <v>31882</v>
          </cell>
        </row>
        <row r="1424">
          <cell r="C1424">
            <v>8010040732</v>
          </cell>
          <cell r="D1424" t="str">
            <v>45°对接弯头(PE配件)SDR11(1.6MPa)黑色 dn75</v>
          </cell>
          <cell r="E1424" t="str">
            <v>HDPE Butt-Fusion 45° Elbow (1.6MPa) SDR11 dn75 Black</v>
          </cell>
          <cell r="F1424">
            <v>1</v>
          </cell>
          <cell r="G1424">
            <v>45377</v>
          </cell>
          <cell r="H1424">
            <v>40881</v>
          </cell>
          <cell r="I1424">
            <v>0.15</v>
          </cell>
          <cell r="J1424">
            <v>48096</v>
          </cell>
          <cell r="K1424">
            <v>0.14</v>
          </cell>
          <cell r="L1424">
            <v>47537</v>
          </cell>
        </row>
        <row r="1425">
          <cell r="C1425">
            <v>8010040733</v>
          </cell>
          <cell r="D1425" t="str">
            <v>45°对接弯头(PE配件)SDR11(1.6MPa)黑色 dn90</v>
          </cell>
          <cell r="E1425" t="str">
            <v>HDPE Butt-Fusion 45° Elbow (1.6MPa) SDR11 dn90 Black</v>
          </cell>
          <cell r="F1425">
            <v>1</v>
          </cell>
          <cell r="G1425">
            <v>60811</v>
          </cell>
          <cell r="H1425">
            <v>54785</v>
          </cell>
          <cell r="I1425">
            <v>0.15</v>
          </cell>
          <cell r="J1425">
            <v>64453</v>
          </cell>
          <cell r="K1425">
            <v>0.14</v>
          </cell>
          <cell r="L1425">
            <v>63704</v>
          </cell>
        </row>
        <row r="1426">
          <cell r="C1426">
            <v>8010040725</v>
          </cell>
          <cell r="D1426" t="str">
            <v>45°对接弯头(PE配件)SDR11(1.6MPa)黑色 dn110</v>
          </cell>
          <cell r="E1426" t="str">
            <v>HDPE Butt-Fusion 45° Elbow (1.6MPa) SDR11 dn110 Black</v>
          </cell>
          <cell r="F1426">
            <v>1</v>
          </cell>
          <cell r="G1426">
            <v>89028</v>
          </cell>
          <cell r="H1426">
            <v>80206</v>
          </cell>
          <cell r="I1426">
            <v>0.15</v>
          </cell>
          <cell r="J1426">
            <v>94360</v>
          </cell>
          <cell r="K1426">
            <v>0.14</v>
          </cell>
          <cell r="L1426">
            <v>93263</v>
          </cell>
        </row>
        <row r="1427">
          <cell r="C1427">
            <v>8010040726</v>
          </cell>
          <cell r="D1427" t="str">
            <v>45°对接弯头(PE配件)SDR11(1.6MPa)黑色 dn125</v>
          </cell>
          <cell r="E1427" t="str">
            <v>HDPE Butt-Fusion 45° Elbow (1.0MPa) SDR11 dn125 Black</v>
          </cell>
          <cell r="F1427">
            <v>1</v>
          </cell>
          <cell r="G1427">
            <v>109945</v>
          </cell>
          <cell r="H1427">
            <v>99050</v>
          </cell>
          <cell r="I1427">
            <v>0.15</v>
          </cell>
          <cell r="J1427">
            <v>116530</v>
          </cell>
          <cell r="K1427">
            <v>0.14</v>
          </cell>
          <cell r="L1427">
            <v>115175</v>
          </cell>
        </row>
        <row r="1428">
          <cell r="C1428">
            <v>8010040727</v>
          </cell>
          <cell r="D1428" t="str">
            <v>45°对接弯头(PE配件)SDR11(1.6MPa)黑色 dn160</v>
          </cell>
          <cell r="E1428" t="str">
            <v>HDPE Butt-Fusion 45° Elbow (1.6MPa) SDR11 dn160 Black</v>
          </cell>
          <cell r="F1428">
            <v>1</v>
          </cell>
          <cell r="G1428">
            <v>199774</v>
          </cell>
          <cell r="H1428">
            <v>179977</v>
          </cell>
          <cell r="I1428">
            <v>0.15</v>
          </cell>
          <cell r="J1428">
            <v>211738</v>
          </cell>
          <cell r="K1428">
            <v>0.14</v>
          </cell>
          <cell r="L1428">
            <v>209276</v>
          </cell>
        </row>
        <row r="1429">
          <cell r="C1429">
            <v>8010040728</v>
          </cell>
          <cell r="D1429" t="str">
            <v>45°对接弯头(PE配件)SDR11(1.6MPa)黑色 dn180</v>
          </cell>
          <cell r="E1429" t="str">
            <v>HDPE Butt-Fusion 45° Elbow (1.6MPa) SDR11 dn180 Black</v>
          </cell>
          <cell r="F1429">
            <v>1</v>
          </cell>
          <cell r="G1429">
            <v>259233</v>
          </cell>
          <cell r="H1429">
            <v>233544</v>
          </cell>
          <cell r="I1429">
            <v>0.15</v>
          </cell>
          <cell r="J1429">
            <v>274758</v>
          </cell>
          <cell r="K1429">
            <v>0.14</v>
          </cell>
          <cell r="L1429">
            <v>271563</v>
          </cell>
        </row>
        <row r="1430">
          <cell r="C1430">
            <v>8010040729</v>
          </cell>
          <cell r="D1430" t="str">
            <v>45°对接弯头(PE配件)SDR11(1.6MPa)黑色 dn200</v>
          </cell>
          <cell r="E1430" t="str">
            <v>HDPE Butt-Fusion 45° Elbow (1.6MPa) SDR11 dn200 Black</v>
          </cell>
          <cell r="F1430">
            <v>1</v>
          </cell>
          <cell r="G1430">
            <v>317757</v>
          </cell>
          <cell r="H1430">
            <v>286268</v>
          </cell>
          <cell r="I1430">
            <v>0.15</v>
          </cell>
          <cell r="J1430">
            <v>336786</v>
          </cell>
          <cell r="K1430">
            <v>0.14</v>
          </cell>
          <cell r="L1430">
            <v>332870</v>
          </cell>
        </row>
        <row r="1431">
          <cell r="C1431">
            <v>8010040730</v>
          </cell>
          <cell r="D1431" t="str">
            <v>45°对接弯头(PE配件)SDR11(1.6MPa)黑色 dn225</v>
          </cell>
          <cell r="E1431" t="str">
            <v>HDPE Butt-Fusion 45° Elbow (1.6MPa) SDR11 dn225 Black</v>
          </cell>
          <cell r="F1431">
            <v>1</v>
          </cell>
          <cell r="G1431">
            <v>480173</v>
          </cell>
          <cell r="H1431">
            <v>432589</v>
          </cell>
          <cell r="I1431">
            <v>0.15</v>
          </cell>
          <cell r="J1431">
            <v>508929</v>
          </cell>
          <cell r="K1431">
            <v>0.14</v>
          </cell>
          <cell r="L1431">
            <v>503011</v>
          </cell>
        </row>
        <row r="1432">
          <cell r="C1432">
            <v>8010040731</v>
          </cell>
          <cell r="D1432" t="str">
            <v>45°对接弯头(PE配件)SDR11(1.6MPa)黑色 dn250</v>
          </cell>
          <cell r="E1432" t="str">
            <v>HDPE Butt-Fusion 45° Elbow (1.6MPa) SDR11 dn250 Black</v>
          </cell>
          <cell r="F1432">
            <v>1</v>
          </cell>
          <cell r="G1432">
            <v>709837</v>
          </cell>
          <cell r="H1432">
            <v>639493</v>
          </cell>
          <cell r="I1432">
            <v>0.15</v>
          </cell>
          <cell r="J1432">
            <v>752345</v>
          </cell>
          <cell r="K1432">
            <v>0.14</v>
          </cell>
          <cell r="L1432">
            <v>743597</v>
          </cell>
        </row>
        <row r="1433">
          <cell r="C1433">
            <v>8010041412</v>
          </cell>
          <cell r="D1433" t="str">
            <v>45°对接弯头(PE配件)SDR11(1.6MPa)黑色 dn280</v>
          </cell>
          <cell r="E1433" t="str">
            <v>HDPE Butt-Fusion 45° Elbow (1.6MPa) SDR11 dn280 Black</v>
          </cell>
          <cell r="F1433">
            <v>1</v>
          </cell>
          <cell r="G1433">
            <v>927858</v>
          </cell>
          <cell r="H1433">
            <v>835909</v>
          </cell>
          <cell r="I1433">
            <v>0.15</v>
          </cell>
          <cell r="J1433">
            <v>983423</v>
          </cell>
          <cell r="K1433">
            <v>0.14</v>
          </cell>
          <cell r="L1433">
            <v>971988</v>
          </cell>
        </row>
        <row r="1434">
          <cell r="C1434">
            <v>8010044463</v>
          </cell>
          <cell r="D1434" t="str">
            <v>45°对接弯头(PE配件)SDR11(1.6MPa)黑色 dn315</v>
          </cell>
          <cell r="E1434" t="str">
            <v>HDPE Butt-Fusion 45° Elbow (1.6MPa) SDR11 dn315 Black</v>
          </cell>
          <cell r="F1434">
            <v>1</v>
          </cell>
          <cell r="G1434">
            <v>1414413</v>
          </cell>
          <cell r="H1434">
            <v>1274246</v>
          </cell>
          <cell r="I1434">
            <v>0.15</v>
          </cell>
          <cell r="J1434">
            <v>1499113</v>
          </cell>
          <cell r="K1434">
            <v>0.14</v>
          </cell>
          <cell r="L1434">
            <v>1481682</v>
          </cell>
        </row>
        <row r="1435">
          <cell r="C1435">
            <v>8010044298</v>
          </cell>
          <cell r="D1435" t="str">
            <v>45°对接弯头(PE配件)SDR11(1.6MPa)黑色 dn355</v>
          </cell>
          <cell r="E1435" t="str">
            <v>HDPE Butt-Fusion 45° Elbow (1.6MPa) SDR11 dn355 Black</v>
          </cell>
          <cell r="F1435">
            <v>1</v>
          </cell>
          <cell r="G1435">
            <v>1642145</v>
          </cell>
          <cell r="H1435">
            <v>1479410</v>
          </cell>
          <cell r="I1435">
            <v>0.15</v>
          </cell>
          <cell r="J1435">
            <v>1740483</v>
          </cell>
          <cell r="K1435">
            <v>0.14</v>
          </cell>
          <cell r="L1435">
            <v>1720245</v>
          </cell>
        </row>
        <row r="1436">
          <cell r="C1436">
            <v>8010045993</v>
          </cell>
          <cell r="D1436" t="str">
            <v>45°对接弯头(PE配件)SDR11(1.6MPa)黑色 dn630</v>
          </cell>
          <cell r="E1436" t="str">
            <v>HDPE Butt-Fusion 45° Elbow (1.6MPa) SDR11 dn630 Black</v>
          </cell>
          <cell r="F1436">
            <v>1</v>
          </cell>
          <cell r="G1436">
            <v>6460257</v>
          </cell>
          <cell r="H1436">
            <v>5820052</v>
          </cell>
          <cell r="I1436">
            <v>0.15</v>
          </cell>
          <cell r="J1436">
            <v>6847120</v>
          </cell>
          <cell r="K1436">
            <v>0.14</v>
          </cell>
          <cell r="L1436">
            <v>6767503</v>
          </cell>
        </row>
        <row r="1437">
          <cell r="C1437">
            <v>8010041541</v>
          </cell>
          <cell r="D1437" t="str">
            <v>45°对接弯头(PE配件)SDR17(1.0MPa)黑色 dn90</v>
          </cell>
          <cell r="E1437" t="str">
            <v>HDPE Butt-Fusion 45° Elbow (1.0MPa) SDR17 dn90 Black</v>
          </cell>
          <cell r="F1437">
            <v>1</v>
          </cell>
          <cell r="G1437">
            <v>59601</v>
          </cell>
          <cell r="H1437">
            <v>53695</v>
          </cell>
          <cell r="I1437">
            <v>0.15</v>
          </cell>
          <cell r="J1437">
            <v>63171</v>
          </cell>
          <cell r="K1437">
            <v>0.14</v>
          </cell>
          <cell r="L1437">
            <v>62437</v>
          </cell>
        </row>
        <row r="1438">
          <cell r="C1438">
            <v>8010043594</v>
          </cell>
          <cell r="D1438" t="str">
            <v>45°对接弯头(PE配件)SDR17(1.0MPa)黑色 dn315</v>
          </cell>
          <cell r="E1438" t="str">
            <v>HDPE Butt-Fusion 45° Elbow (1.0MPa) SDR17 dn315 Black</v>
          </cell>
          <cell r="F1438">
            <v>1</v>
          </cell>
          <cell r="G1438">
            <v>1199437</v>
          </cell>
          <cell r="H1438">
            <v>1080574</v>
          </cell>
          <cell r="I1438">
            <v>0.15</v>
          </cell>
          <cell r="J1438">
            <v>1271264</v>
          </cell>
          <cell r="K1438">
            <v>0.14</v>
          </cell>
          <cell r="L1438">
            <v>1256482</v>
          </cell>
        </row>
        <row r="1439">
          <cell r="C1439">
            <v>8010042250</v>
          </cell>
          <cell r="D1439" t="str">
            <v>45°对接弯头(PE配件)SDR17(1.0MPa)黑色 dn125</v>
          </cell>
          <cell r="E1439" t="str">
            <v>HDPE Butt-Fusion 45° Elbow (1.0MPa) SDR17 dn125 Black</v>
          </cell>
          <cell r="F1439">
            <v>1</v>
          </cell>
          <cell r="G1439">
            <v>100546</v>
          </cell>
          <cell r="H1439">
            <v>90582</v>
          </cell>
          <cell r="I1439">
            <v>0.15</v>
          </cell>
          <cell r="J1439">
            <v>106568</v>
          </cell>
          <cell r="K1439">
            <v>0.14</v>
          </cell>
          <cell r="L1439">
            <v>105328</v>
          </cell>
        </row>
        <row r="1440">
          <cell r="C1440">
            <v>8010042687</v>
          </cell>
          <cell r="D1440" t="str">
            <v>45°对接弯头(PE配件)SDR17(1.0MPa)黑色 dn75</v>
          </cell>
          <cell r="E1440" t="str">
            <v>HDPE Butt-Fusion 45° Elbow (1.0MPa) SDR17 dn75 Black</v>
          </cell>
          <cell r="F1440">
            <v>1</v>
          </cell>
          <cell r="G1440">
            <v>43855</v>
          </cell>
          <cell r="H1440">
            <v>39510</v>
          </cell>
          <cell r="I1440">
            <v>0.15</v>
          </cell>
          <cell r="J1440">
            <v>46483</v>
          </cell>
          <cell r="K1440">
            <v>0.14</v>
          </cell>
          <cell r="L1440">
            <v>45942</v>
          </cell>
        </row>
        <row r="1441">
          <cell r="C1441">
            <v>8010040736</v>
          </cell>
          <cell r="D1441" t="str">
            <v>45°对接弯头(PE配件)SDR17(1.0MPa)黑色 dn110</v>
          </cell>
          <cell r="E1441" t="str">
            <v>HDPE Butt-Fusion 45° Elbow (1.0MPa) SDR17 dn110 Black</v>
          </cell>
          <cell r="F1441">
            <v>1</v>
          </cell>
          <cell r="G1441">
            <v>85841</v>
          </cell>
          <cell r="H1441">
            <v>77335</v>
          </cell>
          <cell r="I1441">
            <v>0.15</v>
          </cell>
          <cell r="J1441">
            <v>90983</v>
          </cell>
          <cell r="K1441">
            <v>0.14</v>
          </cell>
          <cell r="L1441">
            <v>89925</v>
          </cell>
        </row>
        <row r="1442">
          <cell r="C1442">
            <v>8010040737</v>
          </cell>
          <cell r="D1442" t="str">
            <v>45°对接弯头(PE配件)SDR17(1.0MPa)黑色 dn160</v>
          </cell>
          <cell r="E1442" t="str">
            <v>HDPE Butt-Fusion 45° Elbow (1.0MPa) SDR17 dn160 Black</v>
          </cell>
          <cell r="F1442">
            <v>1</v>
          </cell>
          <cell r="G1442">
            <v>184393</v>
          </cell>
          <cell r="H1442">
            <v>166120</v>
          </cell>
          <cell r="I1442">
            <v>0.15</v>
          </cell>
          <cell r="J1442">
            <v>195436</v>
          </cell>
          <cell r="K1442">
            <v>0.14</v>
          </cell>
          <cell r="L1442">
            <v>193163</v>
          </cell>
        </row>
        <row r="1443">
          <cell r="C1443">
            <v>8010040738</v>
          </cell>
          <cell r="D1443" t="str">
            <v>45°对接弯头(PE配件)SDR17(1.0MPa)黑色 dn180</v>
          </cell>
          <cell r="E1443" t="str">
            <v>HDPE Butt-Fusion 45° Elbow (1.0MPa) SDR17 dn180 Black</v>
          </cell>
          <cell r="F1443">
            <v>1</v>
          </cell>
          <cell r="G1443">
            <v>199453</v>
          </cell>
          <cell r="H1443">
            <v>179688</v>
          </cell>
          <cell r="I1443">
            <v>0.15</v>
          </cell>
          <cell r="J1443">
            <v>211398</v>
          </cell>
          <cell r="K1443">
            <v>0.14</v>
          </cell>
          <cell r="L1443">
            <v>208940</v>
          </cell>
        </row>
        <row r="1444">
          <cell r="C1444">
            <v>8010040739</v>
          </cell>
          <cell r="D1444" t="str">
            <v>45°对接弯头(PE配件)SDR17(1.0MPa)黑色 dn200</v>
          </cell>
          <cell r="E1444" t="str">
            <v>HDPE Butt-Fusion 45° Elbow (1.0MPa) SDR17 dn200 Black</v>
          </cell>
          <cell r="F1444">
            <v>1</v>
          </cell>
          <cell r="G1444">
            <v>284503</v>
          </cell>
          <cell r="H1444">
            <v>256310</v>
          </cell>
          <cell r="I1444">
            <v>0.15</v>
          </cell>
          <cell r="J1444">
            <v>301542</v>
          </cell>
          <cell r="K1444">
            <v>0.14</v>
          </cell>
          <cell r="L1444">
            <v>298035</v>
          </cell>
        </row>
        <row r="1445">
          <cell r="C1445">
            <v>8010040740</v>
          </cell>
          <cell r="D1445" t="str">
            <v>45°对接弯头(PE配件)SDR17(1.0MPa)黑色 dn225</v>
          </cell>
          <cell r="E1445" t="str">
            <v>HDPE Butt-Fusion 45° Elbow (1.0MPa) SDR17 dn225 Black</v>
          </cell>
          <cell r="F1445">
            <v>1</v>
          </cell>
          <cell r="G1445">
            <v>451165</v>
          </cell>
          <cell r="H1445">
            <v>406455</v>
          </cell>
          <cell r="I1445">
            <v>0.15</v>
          </cell>
          <cell r="J1445">
            <v>478183</v>
          </cell>
          <cell r="K1445">
            <v>0.14</v>
          </cell>
          <cell r="L1445">
            <v>472623</v>
          </cell>
        </row>
        <row r="1446">
          <cell r="C1446">
            <v>8010040741</v>
          </cell>
          <cell r="D1446" t="str">
            <v>45°对接弯头(PE配件)SDR17(1.0MPa)黑色 dn250</v>
          </cell>
          <cell r="E1446" t="str">
            <v>HDPE Butt-Fusion 45° Elbow (1.0MPa) SDR17 dn250 Black</v>
          </cell>
          <cell r="F1446">
            <v>1</v>
          </cell>
          <cell r="G1446">
            <v>610075</v>
          </cell>
          <cell r="H1446">
            <v>549618</v>
          </cell>
          <cell r="I1446">
            <v>0.15</v>
          </cell>
          <cell r="J1446">
            <v>646610</v>
          </cell>
          <cell r="K1446">
            <v>0.14</v>
          </cell>
          <cell r="L1446">
            <v>639091</v>
          </cell>
        </row>
        <row r="1447">
          <cell r="C1447">
            <v>8010040742</v>
          </cell>
          <cell r="D1447" t="str">
            <v>45°对接弯头(PE配件)SDR17(1.0MPa)黑色 dn280</v>
          </cell>
          <cell r="E1447" t="str">
            <v>HDPE Butt-Fusion 45° Elbow (1.0MPa) SDR17 dn280 Black</v>
          </cell>
          <cell r="F1447">
            <v>1</v>
          </cell>
          <cell r="G1447">
            <v>815056</v>
          </cell>
          <cell r="H1447">
            <v>734285</v>
          </cell>
          <cell r="I1447">
            <v>0.15</v>
          </cell>
          <cell r="J1447">
            <v>863865</v>
          </cell>
          <cell r="K1447">
            <v>0.14</v>
          </cell>
          <cell r="L1447">
            <v>853820</v>
          </cell>
        </row>
        <row r="1448">
          <cell r="C1448">
            <v>8010045665</v>
          </cell>
          <cell r="D1448" t="str">
            <v>90°对接弯头(PE配件)SDR17(1.0MPa)黑色 dn500</v>
          </cell>
          <cell r="E1448" t="str">
            <v>HDPE Butt-Fusion 90° Elbow (1.0MPa) SDR17 dn500 Black</v>
          </cell>
          <cell r="F1448">
            <v>1</v>
          </cell>
          <cell r="G1448">
            <v>3760717</v>
          </cell>
          <cell r="H1448">
            <v>3388034</v>
          </cell>
          <cell r="I1448">
            <v>0.15</v>
          </cell>
          <cell r="J1448">
            <v>3985923</v>
          </cell>
          <cell r="K1448">
            <v>0.14</v>
          </cell>
          <cell r="L1448">
            <v>3939575</v>
          </cell>
        </row>
        <row r="1449">
          <cell r="C1449">
            <v>8010041623</v>
          </cell>
          <cell r="D1449" t="str">
            <v>90°对接弯头(PE配件)SDR17(1.0MPa)黑色 dn315</v>
          </cell>
          <cell r="E1449" t="str">
            <v>HDPE Butt-Fusion 90° Elbow (1.0MPa) SDR17 dn315 Black</v>
          </cell>
          <cell r="F1449">
            <v>1</v>
          </cell>
          <cell r="G1449">
            <v>1575566</v>
          </cell>
          <cell r="H1449">
            <v>1419429</v>
          </cell>
          <cell r="I1449">
            <v>0.15</v>
          </cell>
          <cell r="J1449">
            <v>1669917</v>
          </cell>
          <cell r="K1449">
            <v>0.14</v>
          </cell>
          <cell r="L1449">
            <v>1650499</v>
          </cell>
        </row>
        <row r="1450">
          <cell r="C1450">
            <v>8010043551</v>
          </cell>
          <cell r="D1450" t="str">
            <v>90°对接弯头(PE配件)SDR17(1.0MPa)黑色 dn355</v>
          </cell>
          <cell r="E1450" t="str">
            <v>HDPE Butt-Fusion 90° Elbow (1.0MPa) SDR17 dn355 Black</v>
          </cell>
          <cell r="F1450">
            <v>1</v>
          </cell>
          <cell r="G1450">
            <v>1684843</v>
          </cell>
          <cell r="H1450">
            <v>1517877</v>
          </cell>
          <cell r="I1450">
            <v>0.15</v>
          </cell>
          <cell r="J1450">
            <v>1785738</v>
          </cell>
          <cell r="K1450">
            <v>0.14</v>
          </cell>
          <cell r="L1450">
            <v>1764974</v>
          </cell>
        </row>
        <row r="1451">
          <cell r="C1451">
            <v>8010042256</v>
          </cell>
          <cell r="D1451" t="str">
            <v>90°对接弯头(PE配件)SDR17(1.0MPa)黑色 dn125</v>
          </cell>
          <cell r="E1451" t="str">
            <v>HDPE Butt-Fusion 90° Elbow (1.0MPa) SDR17 dn125 Black</v>
          </cell>
          <cell r="F1451">
            <v>1</v>
          </cell>
          <cell r="G1451">
            <v>112606</v>
          </cell>
          <cell r="H1451">
            <v>101447</v>
          </cell>
          <cell r="I1451">
            <v>0.15</v>
          </cell>
          <cell r="J1451">
            <v>119350</v>
          </cell>
          <cell r="K1451">
            <v>0.14</v>
          </cell>
          <cell r="L1451">
            <v>117962</v>
          </cell>
        </row>
        <row r="1452">
          <cell r="C1452">
            <v>8010042257</v>
          </cell>
          <cell r="D1452" t="str">
            <v>90°对接弯头(PE配件)SDR17(1.0MPa)黑色 dn75</v>
          </cell>
          <cell r="E1452" t="str">
            <v>HDPE Butt-Fusion 90° Elbow (1.0MPa) SDR17 dn75 Black</v>
          </cell>
          <cell r="F1452">
            <v>1</v>
          </cell>
          <cell r="G1452">
            <v>44006</v>
          </cell>
          <cell r="H1452">
            <v>39646</v>
          </cell>
          <cell r="I1452">
            <v>0.15</v>
          </cell>
          <cell r="J1452">
            <v>46643</v>
          </cell>
          <cell r="K1452">
            <v>0.14</v>
          </cell>
          <cell r="L1452">
            <v>46100</v>
          </cell>
        </row>
        <row r="1453">
          <cell r="C1453">
            <v>8010040759</v>
          </cell>
          <cell r="D1453" t="str">
            <v>90°对接弯头(PE配件)SDR17(1.0MPa)黑色 dn110</v>
          </cell>
          <cell r="E1453" t="str">
            <v>HDPE Butt-Fusion 90° Elbow (1.0MPa) SDR17 dn110 Black</v>
          </cell>
          <cell r="F1453">
            <v>1</v>
          </cell>
          <cell r="G1453">
            <v>90710</v>
          </cell>
          <cell r="H1453">
            <v>81721</v>
          </cell>
          <cell r="I1453">
            <v>0.15</v>
          </cell>
          <cell r="J1453">
            <v>96143</v>
          </cell>
          <cell r="K1453">
            <v>0.14</v>
          </cell>
          <cell r="L1453">
            <v>95025</v>
          </cell>
        </row>
        <row r="1454">
          <cell r="C1454">
            <v>8010040760</v>
          </cell>
          <cell r="D1454" t="str">
            <v>90°对接弯头(PE配件)SDR17(1.0MPa)黑色 dn160</v>
          </cell>
          <cell r="E1454" t="str">
            <v>HDPE Butt-Fusion 90° Elbow (1.0MPa) SDR17 dn160 Black</v>
          </cell>
          <cell r="F1454">
            <v>1</v>
          </cell>
          <cell r="G1454">
            <v>197860</v>
          </cell>
          <cell r="H1454">
            <v>178253</v>
          </cell>
          <cell r="I1454">
            <v>0.15</v>
          </cell>
          <cell r="J1454">
            <v>209710</v>
          </cell>
          <cell r="K1454">
            <v>0.14</v>
          </cell>
          <cell r="L1454">
            <v>207271</v>
          </cell>
        </row>
        <row r="1455">
          <cell r="C1455">
            <v>8010040761</v>
          </cell>
          <cell r="D1455" t="str">
            <v>90°对接弯头(PE配件)SDR17(1.0MPa)黑色 dn180</v>
          </cell>
          <cell r="E1455" t="str">
            <v>HDPE Butt-Fusion 90° Elbow (1.0MPa) SDR17 dn180 Black</v>
          </cell>
          <cell r="F1455">
            <v>1</v>
          </cell>
          <cell r="G1455">
            <v>227599</v>
          </cell>
          <cell r="H1455">
            <v>205045</v>
          </cell>
          <cell r="I1455">
            <v>0.15</v>
          </cell>
          <cell r="J1455">
            <v>241230</v>
          </cell>
          <cell r="K1455">
            <v>0.14</v>
          </cell>
          <cell r="L1455">
            <v>238425</v>
          </cell>
        </row>
        <row r="1456">
          <cell r="C1456">
            <v>8010040762</v>
          </cell>
          <cell r="D1456" t="str">
            <v>90°对接弯头(PE配件)SDR17(1.0MPa)黑色 dn200</v>
          </cell>
          <cell r="E1456" t="str">
            <v>HDPE Butt-Fusion 90° Elbow (1.0MPa) SDR17 dn200 Black</v>
          </cell>
          <cell r="F1456">
            <v>1</v>
          </cell>
          <cell r="G1456">
            <v>330396</v>
          </cell>
          <cell r="H1456">
            <v>297655</v>
          </cell>
          <cell r="I1456">
            <v>0.15</v>
          </cell>
          <cell r="J1456">
            <v>350183</v>
          </cell>
          <cell r="K1456">
            <v>0.14</v>
          </cell>
          <cell r="L1456">
            <v>346111</v>
          </cell>
        </row>
        <row r="1457">
          <cell r="C1457">
            <v>8010040763</v>
          </cell>
          <cell r="D1457" t="str">
            <v>90°对接弯头(PE配件)SDR17(1.0MPa)黑色 dn225</v>
          </cell>
          <cell r="E1457" t="str">
            <v>HDPE Butt-Fusion 90° Elbow (1.0MPa) SDR17 dn225 Black</v>
          </cell>
          <cell r="F1457">
            <v>1</v>
          </cell>
          <cell r="G1457">
            <v>528515</v>
          </cell>
          <cell r="H1457">
            <v>476140</v>
          </cell>
          <cell r="I1457">
            <v>0.15</v>
          </cell>
          <cell r="J1457">
            <v>560165</v>
          </cell>
          <cell r="K1457">
            <v>0.14</v>
          </cell>
          <cell r="L1457">
            <v>553652</v>
          </cell>
        </row>
        <row r="1458">
          <cell r="C1458">
            <v>8010040764</v>
          </cell>
          <cell r="D1458" t="str">
            <v>90°对接弯头(PE配件)SDR17(1.0MPa)黑色 dn250</v>
          </cell>
          <cell r="E1458" t="str">
            <v>HDPE Butt-Fusion 90° Elbow (1.0MPa) SDR17 dn250 Black</v>
          </cell>
          <cell r="F1458">
            <v>1</v>
          </cell>
          <cell r="G1458">
            <v>766065</v>
          </cell>
          <cell r="H1458">
            <v>690149</v>
          </cell>
          <cell r="I1458">
            <v>0.15</v>
          </cell>
          <cell r="J1458">
            <v>811940</v>
          </cell>
          <cell r="K1458">
            <v>0.14</v>
          </cell>
          <cell r="L1458">
            <v>802499</v>
          </cell>
        </row>
        <row r="1459">
          <cell r="C1459">
            <v>8010040765</v>
          </cell>
          <cell r="D1459" t="str">
            <v>90°对接弯头(PE配件)SDR17(1.0MPa)黑色 dn280</v>
          </cell>
          <cell r="E1459" t="str">
            <v>HDPE Butt-Fusion 90° Elbow (1.0MPa) SDR17 dn280 Black</v>
          </cell>
          <cell r="F1459">
            <v>1</v>
          </cell>
          <cell r="G1459">
            <v>972336</v>
          </cell>
          <cell r="H1459">
            <v>875979</v>
          </cell>
          <cell r="I1459">
            <v>0.15</v>
          </cell>
          <cell r="J1459">
            <v>1030564</v>
          </cell>
          <cell r="K1459">
            <v>0.14</v>
          </cell>
          <cell r="L1459">
            <v>1018581</v>
          </cell>
        </row>
        <row r="1460">
          <cell r="C1460">
            <v>8010040766</v>
          </cell>
          <cell r="D1460" t="str">
            <v>90°对接弯头(PE配件)SDR17(1.0MPa)黑色 dn90</v>
          </cell>
          <cell r="E1460" t="str">
            <v>HDPE Butt-Fusion 90° Elbow (1.0MPa) SDR17 dn90 Black</v>
          </cell>
          <cell r="F1460">
            <v>1</v>
          </cell>
          <cell r="G1460">
            <v>60224</v>
          </cell>
          <cell r="H1460">
            <v>54256</v>
          </cell>
          <cell r="I1460">
            <v>0.15</v>
          </cell>
          <cell r="J1460">
            <v>63831</v>
          </cell>
          <cell r="K1460">
            <v>0.14</v>
          </cell>
          <cell r="L1460">
            <v>63089</v>
          </cell>
        </row>
        <row r="1461">
          <cell r="C1461">
            <v>8010045991</v>
          </cell>
          <cell r="D1461" t="str">
            <v>90°对接弯头(PE配件)SDR11(1.6MPa)黑色 dn630</v>
          </cell>
          <cell r="E1461" t="str">
            <v>HDPE Butt-Fusion 90° Elbow (1.6MPa) SDR11 dn630 Black</v>
          </cell>
          <cell r="F1461">
            <v>1</v>
          </cell>
          <cell r="G1461">
            <v>9916221</v>
          </cell>
          <cell r="H1461">
            <v>8933533</v>
          </cell>
          <cell r="I1461">
            <v>0.15</v>
          </cell>
          <cell r="J1461">
            <v>10510039</v>
          </cell>
          <cell r="K1461">
            <v>0.14</v>
          </cell>
          <cell r="L1461">
            <v>10387830</v>
          </cell>
        </row>
        <row r="1462">
          <cell r="C1462">
            <v>8010045528</v>
          </cell>
          <cell r="D1462" t="str">
            <v>90°对接弯头(PE配件)SDR11(1.6MPa)黑色 dn355</v>
          </cell>
          <cell r="E1462" t="str">
            <v>HDPE Butt-Fusion 90° Elbow (1.6MPa) SDR11 dn355 Black</v>
          </cell>
          <cell r="F1462">
            <v>1</v>
          </cell>
          <cell r="G1462">
            <v>1938816</v>
          </cell>
          <cell r="H1462">
            <v>1746682</v>
          </cell>
          <cell r="I1462">
            <v>0.15</v>
          </cell>
          <cell r="J1462">
            <v>2054920</v>
          </cell>
          <cell r="K1462">
            <v>0.14</v>
          </cell>
          <cell r="L1462">
            <v>2031026</v>
          </cell>
        </row>
        <row r="1463">
          <cell r="C1463">
            <v>8010043577</v>
          </cell>
          <cell r="D1463" t="str">
            <v>90°对接弯头(PE配件)SDR11(1.6MPa)黑色 dn63</v>
          </cell>
          <cell r="E1463" t="str">
            <v>HDPE Butt-Fusion 90° Elbow (1.6MPa) SDR11 dn63 Black</v>
          </cell>
          <cell r="F1463">
            <v>1</v>
          </cell>
          <cell r="G1463">
            <v>28563</v>
          </cell>
          <cell r="H1463">
            <v>25733</v>
          </cell>
          <cell r="I1463">
            <v>0.15</v>
          </cell>
          <cell r="J1463">
            <v>30275</v>
          </cell>
          <cell r="K1463">
            <v>0.14</v>
          </cell>
          <cell r="L1463">
            <v>29923</v>
          </cell>
        </row>
        <row r="1464">
          <cell r="C1464">
            <v>8010041624</v>
          </cell>
          <cell r="D1464" t="str">
            <v>90°对接弯头(PE配件)SDR11(1.6MPa)黑色 dn315</v>
          </cell>
          <cell r="E1464" t="str">
            <v>HDPE Butt-Fusion 90° Elbow (1.6MPa) SDR11 dn315 Black</v>
          </cell>
          <cell r="F1464">
            <v>1</v>
          </cell>
          <cell r="G1464">
            <v>1834701</v>
          </cell>
          <cell r="H1464">
            <v>1652884</v>
          </cell>
          <cell r="I1464">
            <v>0.15</v>
          </cell>
          <cell r="J1464">
            <v>1944570</v>
          </cell>
          <cell r="K1464">
            <v>0.14</v>
          </cell>
          <cell r="L1464">
            <v>1921959</v>
          </cell>
        </row>
        <row r="1465">
          <cell r="C1465">
            <v>8010040743</v>
          </cell>
          <cell r="D1465" t="str">
            <v>90°对接弯头(PE配件)SDR11(1.6MPa)黑色 dn110</v>
          </cell>
          <cell r="E1465" t="str">
            <v>HDPE Butt-Fusion 90° Elbow (1.6MPa) SDR11 dn110 Black</v>
          </cell>
          <cell r="F1465">
            <v>1</v>
          </cell>
          <cell r="G1465">
            <v>93897</v>
          </cell>
          <cell r="H1465">
            <v>84592</v>
          </cell>
          <cell r="I1465">
            <v>0.15</v>
          </cell>
          <cell r="J1465">
            <v>99520</v>
          </cell>
          <cell r="K1465">
            <v>0.14</v>
          </cell>
          <cell r="L1465">
            <v>98363</v>
          </cell>
        </row>
        <row r="1466">
          <cell r="C1466">
            <v>8010040744</v>
          </cell>
          <cell r="D1466" t="str">
            <v>90°对接弯头(PE配件)SDR11(1.6MPa)黑色 dn125</v>
          </cell>
          <cell r="E1466" t="str">
            <v>HDPE Butt-Fusion 90° Elbow (1.6MPa) SDR11 dn125 Black</v>
          </cell>
          <cell r="F1466">
            <v>1</v>
          </cell>
          <cell r="G1466">
            <v>118312</v>
          </cell>
          <cell r="H1466">
            <v>106588</v>
          </cell>
          <cell r="I1466">
            <v>0.15</v>
          </cell>
          <cell r="J1466">
            <v>125398</v>
          </cell>
          <cell r="K1466">
            <v>0.14</v>
          </cell>
          <cell r="L1466">
            <v>123940</v>
          </cell>
        </row>
        <row r="1467">
          <cell r="C1467">
            <v>8010040745</v>
          </cell>
          <cell r="D1467" t="str">
            <v>90°对接弯头(PE配件)SDR11(1.6MPa)黑色 dn160</v>
          </cell>
          <cell r="E1467" t="str">
            <v>HDPE Butt-Fusion 90° Elbow (1.6MPa) SDR11 dn160 Black</v>
          </cell>
          <cell r="F1467">
            <v>1</v>
          </cell>
          <cell r="G1467">
            <v>206147</v>
          </cell>
          <cell r="H1467">
            <v>185719</v>
          </cell>
          <cell r="I1467">
            <v>0.15</v>
          </cell>
          <cell r="J1467">
            <v>218493</v>
          </cell>
          <cell r="K1467">
            <v>0.14</v>
          </cell>
          <cell r="L1467">
            <v>215953</v>
          </cell>
        </row>
        <row r="1468">
          <cell r="C1468">
            <v>8010040746</v>
          </cell>
          <cell r="D1468" t="str">
            <v>90°对接弯头(PE配件)SDR11(1.6MPa)黑色 dn180</v>
          </cell>
          <cell r="E1468" t="str">
            <v>HDPE Butt-Fusion 90° Elbow (1.6MPa) SDR11 dn180 Black</v>
          </cell>
          <cell r="F1468">
            <v>1</v>
          </cell>
          <cell r="G1468">
            <v>253082</v>
          </cell>
          <cell r="H1468">
            <v>228002</v>
          </cell>
          <cell r="I1468">
            <v>0.15</v>
          </cell>
          <cell r="J1468">
            <v>268238</v>
          </cell>
          <cell r="K1468">
            <v>0.14</v>
          </cell>
          <cell r="L1468">
            <v>265119</v>
          </cell>
        </row>
        <row r="1469">
          <cell r="C1469">
            <v>8010040747</v>
          </cell>
          <cell r="D1469" t="str">
            <v>90°对接弯头(PE配件)SDR11(1.6MPa)黑色 dn200</v>
          </cell>
          <cell r="E1469" t="str">
            <v>HDPE Butt-Fusion 90° Elbow (1.6MPa) SDR11 dn200 Black</v>
          </cell>
          <cell r="F1469">
            <v>1</v>
          </cell>
          <cell r="G1469">
            <v>340704</v>
          </cell>
          <cell r="H1469">
            <v>306941</v>
          </cell>
          <cell r="I1469">
            <v>0.15</v>
          </cell>
          <cell r="J1469">
            <v>361108</v>
          </cell>
          <cell r="K1469">
            <v>0.14</v>
          </cell>
          <cell r="L1469">
            <v>356909</v>
          </cell>
        </row>
        <row r="1470">
          <cell r="C1470">
            <v>8010040748</v>
          </cell>
          <cell r="D1470" t="str">
            <v>90°对接弯头(PE配件)SDR11(1.6MPa)黑色 dn225</v>
          </cell>
          <cell r="E1470" t="str">
            <v>HDPE Butt-Fusion 90° Elbow (1.6MPa) SDR11 dn225 Black</v>
          </cell>
          <cell r="F1470">
            <v>1</v>
          </cell>
          <cell r="G1470">
            <v>622625</v>
          </cell>
          <cell r="H1470">
            <v>560924</v>
          </cell>
          <cell r="I1470">
            <v>0.15</v>
          </cell>
          <cell r="J1470">
            <v>659911</v>
          </cell>
          <cell r="K1470">
            <v>0.14</v>
          </cell>
          <cell r="L1470">
            <v>652238</v>
          </cell>
        </row>
        <row r="1471">
          <cell r="C1471">
            <v>8010040749</v>
          </cell>
          <cell r="D1471" t="str">
            <v>90°对接弯头(PE配件)SDR11(1.6MPa)黑色 dn250</v>
          </cell>
          <cell r="E1471" t="str">
            <v>HDPE Butt-Fusion 90° Elbow (1.6MPa) SDR11 dn250 Black</v>
          </cell>
          <cell r="F1471">
            <v>1</v>
          </cell>
          <cell r="G1471">
            <v>869209</v>
          </cell>
          <cell r="H1471">
            <v>783072</v>
          </cell>
          <cell r="I1471">
            <v>0.15</v>
          </cell>
          <cell r="J1471">
            <v>921262</v>
          </cell>
          <cell r="K1471">
            <v>0.14</v>
          </cell>
          <cell r="L1471">
            <v>910549</v>
          </cell>
        </row>
        <row r="1472">
          <cell r="C1472">
            <v>8010040750</v>
          </cell>
          <cell r="D1472" t="str">
            <v>90°对接弯头(PE配件)SDR11(1.6MPa)黑色 dn280</v>
          </cell>
          <cell r="E1472" t="str">
            <v>HDPE Butt-Fusion 90° Elbow (1.6MPa) SDR11 dn280 Black</v>
          </cell>
          <cell r="F1472">
            <v>1</v>
          </cell>
          <cell r="G1472">
            <v>1177326</v>
          </cell>
          <cell r="H1472">
            <v>1060655</v>
          </cell>
          <cell r="I1472">
            <v>0.15</v>
          </cell>
          <cell r="J1472">
            <v>1247830</v>
          </cell>
          <cell r="K1472">
            <v>0.14</v>
          </cell>
          <cell r="L1472">
            <v>1233320</v>
          </cell>
        </row>
        <row r="1473">
          <cell r="C1473">
            <v>8010040751</v>
          </cell>
          <cell r="D1473" t="str">
            <v>90°对接弯头(PE配件)SDR11(1.6MPa)黑色 dn75</v>
          </cell>
          <cell r="E1473" t="str">
            <v>HDPE Butt-Fusion 90° Elbow (1.6MPa) SDR11 dn75 Black</v>
          </cell>
          <cell r="F1473">
            <v>1</v>
          </cell>
          <cell r="G1473">
            <v>45644</v>
          </cell>
          <cell r="H1473">
            <v>41121</v>
          </cell>
          <cell r="I1473">
            <v>0.15</v>
          </cell>
          <cell r="J1473">
            <v>48378</v>
          </cell>
          <cell r="K1473">
            <v>0.14</v>
          </cell>
          <cell r="L1473">
            <v>47816</v>
          </cell>
        </row>
        <row r="1474">
          <cell r="C1474">
            <v>8010040752</v>
          </cell>
          <cell r="D1474" t="str">
            <v>90°对接弯头(PE配件)SDR11(1.6MPa)黑色 dn90</v>
          </cell>
          <cell r="E1474" t="str">
            <v>HDPE Butt-Fusion 90° Elbow (1.6MPa) SDR11 dn90 Black</v>
          </cell>
          <cell r="F1474">
            <v>1</v>
          </cell>
          <cell r="G1474">
            <v>64230</v>
          </cell>
          <cell r="H1474">
            <v>57865</v>
          </cell>
          <cell r="I1474">
            <v>0.15</v>
          </cell>
          <cell r="J1474">
            <v>68077</v>
          </cell>
          <cell r="K1474">
            <v>0.14</v>
          </cell>
          <cell r="L1474">
            <v>67285</v>
          </cell>
        </row>
        <row r="1475">
          <cell r="C1475">
            <v>8010042241</v>
          </cell>
          <cell r="D1475" t="str">
            <v>90°对接三通(PE配件)SDR11(1.6MPa)黑色 dn63</v>
          </cell>
          <cell r="E1475" t="str">
            <v>HDPE Butt-Fusion 90° Tee (1.6MPa) SDR11 dn63 Black</v>
          </cell>
          <cell r="F1475">
            <v>1</v>
          </cell>
          <cell r="G1475">
            <v>47593</v>
          </cell>
          <cell r="H1475">
            <v>42877</v>
          </cell>
          <cell r="I1475">
            <v>0.15</v>
          </cell>
          <cell r="J1475">
            <v>50444</v>
          </cell>
          <cell r="K1475">
            <v>0.14</v>
          </cell>
          <cell r="L1475">
            <v>49857</v>
          </cell>
        </row>
        <row r="1476">
          <cell r="C1476">
            <v>8010040699</v>
          </cell>
          <cell r="D1476" t="str">
            <v>90°对接三通(PE配件)SDR11(1.6MPa)黑色 dn110</v>
          </cell>
          <cell r="E1476" t="str">
            <v>HDPE Butt-Fusion 90° Tee (1.6MPa) SDR11 dn110 Black</v>
          </cell>
          <cell r="F1476">
            <v>1</v>
          </cell>
          <cell r="G1476">
            <v>133924</v>
          </cell>
          <cell r="H1476">
            <v>120653</v>
          </cell>
          <cell r="I1476">
            <v>0.15</v>
          </cell>
          <cell r="J1476">
            <v>141945</v>
          </cell>
          <cell r="K1476">
            <v>0.14</v>
          </cell>
          <cell r="L1476">
            <v>140295</v>
          </cell>
        </row>
        <row r="1477">
          <cell r="C1477">
            <v>8010040700</v>
          </cell>
          <cell r="D1477" t="str">
            <v>90°对接三通(PE配件)SDR11(1.6MPa)黑色 dn125</v>
          </cell>
          <cell r="E1477" t="str">
            <v>HDPE Butt-Fusion 90° Tee (1.6MPa) SDR11 dn125 Black</v>
          </cell>
          <cell r="F1477">
            <v>1</v>
          </cell>
          <cell r="G1477">
            <v>165105</v>
          </cell>
          <cell r="H1477">
            <v>148744</v>
          </cell>
          <cell r="I1477">
            <v>0.15</v>
          </cell>
          <cell r="J1477">
            <v>174993</v>
          </cell>
          <cell r="K1477">
            <v>0.14</v>
          </cell>
          <cell r="L1477">
            <v>172959</v>
          </cell>
        </row>
        <row r="1478">
          <cell r="C1478">
            <v>8010040701</v>
          </cell>
          <cell r="D1478" t="str">
            <v>90°对接三通(PE配件)SDR11(1.6MPa)黑色 dn160</v>
          </cell>
          <cell r="E1478" t="str">
            <v>HDPE Butt-Fusion 90° Tee (1.6MPa) SDR11 dn160 Black</v>
          </cell>
          <cell r="F1478">
            <v>1</v>
          </cell>
          <cell r="G1478">
            <v>289363</v>
          </cell>
          <cell r="H1478">
            <v>260688</v>
          </cell>
          <cell r="I1478">
            <v>0.15</v>
          </cell>
          <cell r="J1478">
            <v>306692</v>
          </cell>
          <cell r="K1478">
            <v>0.14</v>
          </cell>
          <cell r="L1478">
            <v>303126</v>
          </cell>
        </row>
        <row r="1479">
          <cell r="C1479">
            <v>8010040702</v>
          </cell>
          <cell r="D1479" t="str">
            <v>90°对接三通(PE配件)SDR11(1.6MPa)黑色 dn180</v>
          </cell>
          <cell r="E1479" t="str">
            <v>HDPE Butt-Fusion 90° Tee (1.6MPa) SDR11 dn180 Black</v>
          </cell>
          <cell r="F1479">
            <v>1</v>
          </cell>
          <cell r="G1479">
            <v>345305</v>
          </cell>
          <cell r="H1479">
            <v>311086</v>
          </cell>
          <cell r="I1479">
            <v>0.15</v>
          </cell>
          <cell r="J1479">
            <v>365984</v>
          </cell>
          <cell r="K1479">
            <v>0.14</v>
          </cell>
          <cell r="L1479">
            <v>361728</v>
          </cell>
        </row>
        <row r="1480">
          <cell r="C1480">
            <v>8010040703</v>
          </cell>
          <cell r="D1480" t="str">
            <v>90°对接三通(PE配件)SDR11(1.6MPa)黑色 dn200</v>
          </cell>
          <cell r="E1480" t="str">
            <v>HDPE Butt-Fusion 90° Tee (1.6MPa) SDR11 dn200 Black</v>
          </cell>
          <cell r="F1480">
            <v>1</v>
          </cell>
          <cell r="G1480">
            <v>493765</v>
          </cell>
          <cell r="H1480">
            <v>444834</v>
          </cell>
          <cell r="I1480">
            <v>0.15</v>
          </cell>
          <cell r="J1480">
            <v>523335</v>
          </cell>
          <cell r="K1480">
            <v>0.14</v>
          </cell>
          <cell r="L1480">
            <v>517249</v>
          </cell>
        </row>
        <row r="1481">
          <cell r="C1481">
            <v>8010040704</v>
          </cell>
          <cell r="D1481" t="str">
            <v>90°对接三通(PE配件)SDR11(1.6MPa)黑色 dn225</v>
          </cell>
          <cell r="E1481" t="str">
            <v>HDPE Butt-Fusion 90° Tee (1.6MPa) SDR11 dn225 Black</v>
          </cell>
          <cell r="F1481">
            <v>1</v>
          </cell>
          <cell r="G1481">
            <v>866868</v>
          </cell>
          <cell r="H1481">
            <v>780963</v>
          </cell>
          <cell r="I1481">
            <v>0.15</v>
          </cell>
          <cell r="J1481">
            <v>918780</v>
          </cell>
          <cell r="K1481">
            <v>0.14</v>
          </cell>
          <cell r="L1481">
            <v>908097</v>
          </cell>
        </row>
        <row r="1482">
          <cell r="C1482">
            <v>8010040705</v>
          </cell>
          <cell r="D1482" t="str">
            <v>90°对接三通(PE配件)SDR11(1.6MPa)黑色 dn250</v>
          </cell>
          <cell r="E1482" t="str">
            <v>HDPE Butt-Fusion 90° Tee (1.6MPa) SDR11 dn250 Black</v>
          </cell>
          <cell r="F1482">
            <v>1</v>
          </cell>
          <cell r="G1482">
            <v>1210625</v>
          </cell>
          <cell r="H1482">
            <v>1090654</v>
          </cell>
          <cell r="I1482">
            <v>0.15</v>
          </cell>
          <cell r="J1482">
            <v>1283123</v>
          </cell>
          <cell r="K1482">
            <v>0.14</v>
          </cell>
          <cell r="L1482">
            <v>1268203</v>
          </cell>
        </row>
        <row r="1483">
          <cell r="C1483">
            <v>8010040706</v>
          </cell>
          <cell r="D1483" t="str">
            <v>90°对接三通(PE配件)SDR11(1.6MPa)黑色 dn280</v>
          </cell>
          <cell r="E1483" t="str">
            <v>HDPE Butt-Fusion 90° Tee (1.6MPa) SDR11 dn280 Black</v>
          </cell>
          <cell r="F1483">
            <v>1</v>
          </cell>
          <cell r="G1483">
            <v>1565152</v>
          </cell>
          <cell r="H1483">
            <v>1410047</v>
          </cell>
          <cell r="I1483">
            <v>0.15</v>
          </cell>
          <cell r="J1483">
            <v>1658879</v>
          </cell>
          <cell r="K1483">
            <v>0.14</v>
          </cell>
          <cell r="L1483">
            <v>1639590</v>
          </cell>
        </row>
        <row r="1484">
          <cell r="C1484">
            <v>8010040707</v>
          </cell>
          <cell r="D1484" t="str">
            <v>90°对接三通(PE配件)SDR11(1.6MPa)黑色 dn315</v>
          </cell>
          <cell r="E1484" t="str">
            <v>HDPE Butt-Fusion 90° Tee (1.6MPa) SDR11 dn315 Black</v>
          </cell>
          <cell r="F1484">
            <v>1</v>
          </cell>
          <cell r="G1484">
            <v>2476071</v>
          </cell>
          <cell r="H1484">
            <v>2230695</v>
          </cell>
          <cell r="I1484">
            <v>0.15</v>
          </cell>
          <cell r="J1484">
            <v>2624348</v>
          </cell>
          <cell r="K1484">
            <v>0.14</v>
          </cell>
          <cell r="L1484">
            <v>2593832</v>
          </cell>
        </row>
        <row r="1485">
          <cell r="C1485">
            <v>8010040708</v>
          </cell>
          <cell r="D1485" t="str">
            <v>90°对接三通(PE配件)SDR11(1.6MPa)黑色 dn75</v>
          </cell>
          <cell r="E1485" t="str">
            <v>HDPE Butt-Fusion 90° Tee (1.6MPa) SDR11 dn75 Black</v>
          </cell>
          <cell r="F1485">
            <v>1</v>
          </cell>
          <cell r="G1485">
            <v>62191</v>
          </cell>
          <cell r="H1485">
            <v>56028</v>
          </cell>
          <cell r="I1485">
            <v>0.15</v>
          </cell>
          <cell r="J1485">
            <v>65916</v>
          </cell>
          <cell r="K1485">
            <v>0.14</v>
          </cell>
          <cell r="L1485">
            <v>65149</v>
          </cell>
        </row>
        <row r="1486">
          <cell r="C1486">
            <v>8010040709</v>
          </cell>
          <cell r="D1486" t="str">
            <v>90°对接三通(PE配件)SDR11(1.6MPa)黑色 dn90</v>
          </cell>
          <cell r="E1486" t="str">
            <v>HDPE Butt-Fusion 90° Tee (1.6MPa) SDR11 dn90 Black</v>
          </cell>
          <cell r="F1486">
            <v>1</v>
          </cell>
          <cell r="G1486">
            <v>90986</v>
          </cell>
          <cell r="H1486">
            <v>81970</v>
          </cell>
          <cell r="I1486">
            <v>0.15</v>
          </cell>
          <cell r="J1486">
            <v>96436</v>
          </cell>
          <cell r="K1486">
            <v>0.14</v>
          </cell>
          <cell r="L1486">
            <v>95314</v>
          </cell>
        </row>
        <row r="1487">
          <cell r="C1487">
            <v>8010044497</v>
          </cell>
          <cell r="D1487" t="str">
            <v>90°对接三通(PE配件)SDR17(1.0MPa)黑色 dn63</v>
          </cell>
          <cell r="E1487" t="str">
            <v>HDPE Butt-Fusion 90° Tee (1.0MPa) SDR17 dn63 Black</v>
          </cell>
          <cell r="F1487">
            <v>1</v>
          </cell>
          <cell r="G1487">
            <v>45787</v>
          </cell>
          <cell r="H1487">
            <v>41250</v>
          </cell>
          <cell r="I1487">
            <v>0.15</v>
          </cell>
          <cell r="J1487">
            <v>48530</v>
          </cell>
          <cell r="K1487">
            <v>0.14</v>
          </cell>
          <cell r="L1487">
            <v>47966</v>
          </cell>
        </row>
        <row r="1488">
          <cell r="C1488">
            <v>8010041383</v>
          </cell>
          <cell r="D1488" t="str">
            <v>90°对接三通(PE配件)SDR17(1.0MPa)黑色 dn400</v>
          </cell>
          <cell r="E1488" t="str">
            <v>HDPE Butt-Fusion 90° Tee (1.0MPa) SDR17 dn400 Black</v>
          </cell>
          <cell r="F1488">
            <v>1</v>
          </cell>
          <cell r="G1488">
            <v>2897071</v>
          </cell>
          <cell r="H1488">
            <v>2609974</v>
          </cell>
          <cell r="I1488">
            <v>0.15</v>
          </cell>
          <cell r="J1488">
            <v>3070558</v>
          </cell>
          <cell r="K1488">
            <v>0.14</v>
          </cell>
          <cell r="L1488">
            <v>3034854</v>
          </cell>
        </row>
        <row r="1489">
          <cell r="C1489">
            <v>8010041540</v>
          </cell>
          <cell r="D1489" t="str">
            <v>90°对接三通(PE配件)SDR17(1.0MPa)黑色 dn90</v>
          </cell>
          <cell r="E1489" t="str">
            <v>HDPE Butt-Fusion 90° Tee (1.0MPa) SDR17 dn90 Black</v>
          </cell>
          <cell r="F1489">
            <v>1</v>
          </cell>
          <cell r="G1489">
            <v>85369</v>
          </cell>
          <cell r="H1489">
            <v>76910</v>
          </cell>
          <cell r="I1489">
            <v>0.15</v>
          </cell>
          <cell r="J1489">
            <v>90483</v>
          </cell>
          <cell r="K1489">
            <v>0.14</v>
          </cell>
          <cell r="L1489">
            <v>89431</v>
          </cell>
        </row>
        <row r="1490">
          <cell r="C1490">
            <v>8010043768</v>
          </cell>
          <cell r="D1490" t="str">
            <v>90°对接三通(PE配件)SDR17(1.0MPa)黑色 dn75</v>
          </cell>
          <cell r="E1490" t="str">
            <v>HDPE Butt-Fusion 90° Tee (1.0MPa) SDR17 dn75 Black</v>
          </cell>
          <cell r="F1490">
            <v>1</v>
          </cell>
          <cell r="G1490">
            <v>60429</v>
          </cell>
          <cell r="H1490">
            <v>54441</v>
          </cell>
          <cell r="I1490">
            <v>0.15</v>
          </cell>
          <cell r="J1490">
            <v>64049</v>
          </cell>
          <cell r="K1490">
            <v>0.14</v>
          </cell>
          <cell r="L1490">
            <v>63304</v>
          </cell>
        </row>
        <row r="1491">
          <cell r="C1491">
            <v>8010042243</v>
          </cell>
          <cell r="D1491" t="str">
            <v>90°对接三通(PE配件)SDR17(1.0MPa)黑色 dn125</v>
          </cell>
          <cell r="E1491" t="str">
            <v>HDPE Butt-Fusion 90° Tee (1.0MPa) SDR17 dn125 Black</v>
          </cell>
          <cell r="F1491">
            <v>1</v>
          </cell>
          <cell r="G1491">
            <v>154334</v>
          </cell>
          <cell r="H1491">
            <v>139040</v>
          </cell>
          <cell r="I1491">
            <v>0.15</v>
          </cell>
          <cell r="J1491">
            <v>163577</v>
          </cell>
          <cell r="K1491">
            <v>0.14</v>
          </cell>
          <cell r="L1491">
            <v>161675</v>
          </cell>
        </row>
        <row r="1492">
          <cell r="C1492">
            <v>8010041620</v>
          </cell>
          <cell r="D1492" t="str">
            <v>90°对接三通(PE配件)SDR17(1.0MPa)黑色 dn180</v>
          </cell>
          <cell r="E1492" t="str">
            <v>HDPE Butt-Fusion 90° Tee (1.0MPa) SDR17 dn180 Black</v>
          </cell>
          <cell r="F1492">
            <v>1</v>
          </cell>
          <cell r="G1492">
            <v>334989</v>
          </cell>
          <cell r="H1492">
            <v>301792</v>
          </cell>
          <cell r="I1492">
            <v>0.15</v>
          </cell>
          <cell r="J1492">
            <v>355050</v>
          </cell>
          <cell r="K1492">
            <v>0.14</v>
          </cell>
          <cell r="L1492">
            <v>350921</v>
          </cell>
        </row>
        <row r="1493">
          <cell r="C1493">
            <v>8010040717</v>
          </cell>
          <cell r="D1493" t="str">
            <v>90°对接三通(PE配件)SDR17(1.0MPa)黑色 dn110</v>
          </cell>
          <cell r="E1493" t="str">
            <v>HDPE Butt-Fusion 90° Tee (1.0MPa) SDR17 dn110 Black</v>
          </cell>
          <cell r="F1493">
            <v>1</v>
          </cell>
          <cell r="G1493">
            <v>128584</v>
          </cell>
          <cell r="H1493">
            <v>115842</v>
          </cell>
          <cell r="I1493">
            <v>0.15</v>
          </cell>
          <cell r="J1493">
            <v>136285</v>
          </cell>
          <cell r="K1493">
            <v>0.14</v>
          </cell>
          <cell r="L1493">
            <v>134700</v>
          </cell>
        </row>
        <row r="1494">
          <cell r="C1494">
            <v>8010040718</v>
          </cell>
          <cell r="D1494" t="str">
            <v>90°对接三通(PE配件)SDR17(1.0MPa)黑色 dn160</v>
          </cell>
          <cell r="E1494" t="str">
            <v>HDPE Butt-Fusion 90° Tee (1.0MPa) SDR17 dn160 Black</v>
          </cell>
          <cell r="F1494">
            <v>1</v>
          </cell>
          <cell r="G1494">
            <v>279046</v>
          </cell>
          <cell r="H1494">
            <v>251393</v>
          </cell>
          <cell r="I1494">
            <v>0.15</v>
          </cell>
          <cell r="J1494">
            <v>295757</v>
          </cell>
          <cell r="K1494">
            <v>0.14</v>
          </cell>
          <cell r="L1494">
            <v>292318</v>
          </cell>
        </row>
        <row r="1495">
          <cell r="C1495">
            <v>8010040719</v>
          </cell>
          <cell r="D1495" t="str">
            <v>90°对接三通(PE配件)SDR17(1.0MPa)黑色 dn200</v>
          </cell>
          <cell r="E1495" t="str">
            <v>HDPE Butt-Fusion 90° Tee (1.0MPa) SDR17 dn200 Black</v>
          </cell>
          <cell r="F1495">
            <v>1</v>
          </cell>
          <cell r="G1495">
            <v>478509</v>
          </cell>
          <cell r="H1495">
            <v>431090</v>
          </cell>
          <cell r="I1495">
            <v>0.15</v>
          </cell>
          <cell r="J1495">
            <v>507165</v>
          </cell>
          <cell r="K1495">
            <v>0.14</v>
          </cell>
          <cell r="L1495">
            <v>501268</v>
          </cell>
        </row>
        <row r="1496">
          <cell r="C1496">
            <v>8010040720</v>
          </cell>
          <cell r="D1496" t="str">
            <v>90°对接三通(PE配件)SDR17(1.0MPa)黑色 dn225</v>
          </cell>
          <cell r="E1496" t="str">
            <v>HDPE Butt-Fusion 90° Tee (1.0MPa) SDR17 dn225 Black</v>
          </cell>
          <cell r="F1496">
            <v>1</v>
          </cell>
          <cell r="G1496">
            <v>744391</v>
          </cell>
          <cell r="H1496">
            <v>670623</v>
          </cell>
          <cell r="I1496">
            <v>0.15</v>
          </cell>
          <cell r="J1496">
            <v>788969</v>
          </cell>
          <cell r="K1496">
            <v>0.14</v>
          </cell>
          <cell r="L1496">
            <v>779795</v>
          </cell>
        </row>
        <row r="1497">
          <cell r="C1497">
            <v>8010040721</v>
          </cell>
          <cell r="D1497" t="str">
            <v>90°对接三通(PE配件)SDR17(1.0MPa)黑色 dn250</v>
          </cell>
          <cell r="E1497" t="str">
            <v>HDPE Butt-Fusion 90° Tee (1.0MPa) SDR17 dn250 Black</v>
          </cell>
          <cell r="F1497">
            <v>1</v>
          </cell>
          <cell r="G1497">
            <v>1043028</v>
          </cell>
          <cell r="H1497">
            <v>939665</v>
          </cell>
          <cell r="I1497">
            <v>0.15</v>
          </cell>
          <cell r="J1497">
            <v>1105489</v>
          </cell>
          <cell r="K1497">
            <v>0.14</v>
          </cell>
          <cell r="L1497">
            <v>1092634</v>
          </cell>
        </row>
        <row r="1498">
          <cell r="C1498">
            <v>8010040722</v>
          </cell>
          <cell r="D1498" t="str">
            <v>90°对接三通(PE配件)SDR17(1.0MPa)黑色 dn280</v>
          </cell>
          <cell r="E1498" t="str">
            <v>HDPE Butt-Fusion 90° Tee (1.0MPa) SDR17 dn280 Black</v>
          </cell>
          <cell r="F1498">
            <v>1</v>
          </cell>
          <cell r="G1498">
            <v>1345982</v>
          </cell>
          <cell r="H1498">
            <v>1212597</v>
          </cell>
          <cell r="I1498">
            <v>0.15</v>
          </cell>
          <cell r="J1498">
            <v>1426585</v>
          </cell>
          <cell r="K1498">
            <v>0.14</v>
          </cell>
          <cell r="L1498">
            <v>1409997</v>
          </cell>
        </row>
        <row r="1499">
          <cell r="C1499">
            <v>8010040723</v>
          </cell>
          <cell r="D1499" t="str">
            <v>90°对接三通(PE配件)SDR17(1.0MPa)黑色 dn315</v>
          </cell>
          <cell r="E1499" t="str">
            <v>HDPE Butt-Fusion 90° Tee (1.0MPa) SDR17 dn315 Black</v>
          </cell>
          <cell r="F1499">
            <v>1</v>
          </cell>
          <cell r="G1499">
            <v>2069322</v>
          </cell>
          <cell r="H1499">
            <v>1864255</v>
          </cell>
          <cell r="I1499">
            <v>0.15</v>
          </cell>
          <cell r="J1499">
            <v>2193242</v>
          </cell>
          <cell r="K1499">
            <v>0.14</v>
          </cell>
          <cell r="L1499">
            <v>2167739</v>
          </cell>
        </row>
        <row r="1500">
          <cell r="C1500">
            <v>8010040724</v>
          </cell>
          <cell r="D1500" t="str">
            <v>90°对接三通(PE配件)SDR17(1.0MPa)黑色 dn355</v>
          </cell>
          <cell r="E1500" t="str">
            <v>HDPE Butt-Fusion 90° Tee (1.0MPa) SDR17 dn355 Black</v>
          </cell>
          <cell r="F1500">
            <v>1</v>
          </cell>
          <cell r="G1500">
            <v>2171007</v>
          </cell>
          <cell r="H1500">
            <v>1955863</v>
          </cell>
          <cell r="I1500">
            <v>0.15</v>
          </cell>
          <cell r="J1500">
            <v>2301016</v>
          </cell>
          <cell r="K1500">
            <v>0.14</v>
          </cell>
          <cell r="L1500">
            <v>2274260</v>
          </cell>
        </row>
        <row r="1501">
          <cell r="C1501">
            <v>8010044397</v>
          </cell>
          <cell r="D1501" t="str">
            <v>90°对接异径三通(PE配件)SDR17(1.0MPa)黑色 dn315X160</v>
          </cell>
          <cell r="E1501" t="str">
            <v>HDPE Butt-Fusion Reducing 90° Tee (1.0MPa) SDR17 dn315x160 Black</v>
          </cell>
          <cell r="F1501">
            <v>1</v>
          </cell>
          <cell r="G1501">
            <v>1323401</v>
          </cell>
          <cell r="H1501">
            <v>1192254</v>
          </cell>
          <cell r="I1501">
            <v>0.15</v>
          </cell>
          <cell r="J1501">
            <v>1402652</v>
          </cell>
          <cell r="K1501">
            <v>0.14</v>
          </cell>
          <cell r="L1501">
            <v>1386342</v>
          </cell>
        </row>
        <row r="1502">
          <cell r="C1502">
            <v>8010044398</v>
          </cell>
          <cell r="D1502" t="str">
            <v>90°对接异径三通(PE配件)SDR17(1.0MPa)黑色 dn315X110</v>
          </cell>
          <cell r="E1502" t="str">
            <v>HDPE Butt-Fusion Reducing 90° Tee (1.0MPa) SDR17 dn315x110 Black</v>
          </cell>
          <cell r="F1502">
            <v>1</v>
          </cell>
          <cell r="G1502">
            <v>1308251</v>
          </cell>
          <cell r="H1502">
            <v>1178605</v>
          </cell>
          <cell r="I1502">
            <v>0.15</v>
          </cell>
          <cell r="J1502">
            <v>1386595</v>
          </cell>
          <cell r="K1502">
            <v>0.14</v>
          </cell>
          <cell r="L1502">
            <v>1370471</v>
          </cell>
        </row>
        <row r="1503">
          <cell r="C1503">
            <v>8010044565</v>
          </cell>
          <cell r="D1503" t="str">
            <v>90°对接异径三通(PE配件)SDR17(1.0MPa)黑色 dn315X200</v>
          </cell>
          <cell r="E1503" t="str">
            <v>HDPE Butt-Fusion Reducing 90° Tee (1.0MPa) SDR17 dn315x200 Black</v>
          </cell>
          <cell r="F1503">
            <v>1</v>
          </cell>
          <cell r="G1503">
            <v>1561102</v>
          </cell>
          <cell r="H1503">
            <v>1406399</v>
          </cell>
          <cell r="I1503">
            <v>0.15</v>
          </cell>
          <cell r="J1503">
            <v>1654588</v>
          </cell>
          <cell r="K1503">
            <v>0.14</v>
          </cell>
          <cell r="L1503">
            <v>1635348</v>
          </cell>
        </row>
        <row r="1504">
          <cell r="C1504">
            <v>8010040814</v>
          </cell>
          <cell r="D1504" t="str">
            <v>90°对接异径三通(PE配件)SDR17(1.0MPa)黑色 dn250X110</v>
          </cell>
          <cell r="E1504" t="str">
            <v>HDPE Butt-Fusion Reducing 90° Tee (1.0MPa) SDR17 dn250x110 Black</v>
          </cell>
          <cell r="F1504">
            <v>1</v>
          </cell>
          <cell r="G1504">
            <v>760724</v>
          </cell>
          <cell r="H1504">
            <v>685337</v>
          </cell>
          <cell r="I1504">
            <v>0.15</v>
          </cell>
          <cell r="J1504">
            <v>806279</v>
          </cell>
          <cell r="K1504">
            <v>0.14</v>
          </cell>
          <cell r="L1504">
            <v>796904</v>
          </cell>
        </row>
        <row r="1505">
          <cell r="C1505">
            <v>8010040815</v>
          </cell>
          <cell r="D1505" t="str">
            <v>90°对接异径三通(PE配件)SDR17(1.0MPa)黑色 dn250X160</v>
          </cell>
          <cell r="E1505" t="str">
            <v>HDPE Butt-Fusion Reducing 90° Tee (1.0MPa) SDR17 dn250x160 Black</v>
          </cell>
          <cell r="F1505">
            <v>1</v>
          </cell>
          <cell r="G1505">
            <v>812999</v>
          </cell>
          <cell r="H1505">
            <v>732432</v>
          </cell>
          <cell r="I1505">
            <v>0.15</v>
          </cell>
          <cell r="J1505">
            <v>861685</v>
          </cell>
          <cell r="K1505">
            <v>0.14</v>
          </cell>
          <cell r="L1505">
            <v>851666</v>
          </cell>
        </row>
        <row r="1506">
          <cell r="C1506">
            <v>8010042269</v>
          </cell>
          <cell r="D1506" t="str">
            <v>90°对接异径三通(PE配件)SDR17(1.0MPa)黑色 dn110X90</v>
          </cell>
          <cell r="E1506" t="str">
            <v>HDPE Butt-Fusion Reducing 90° Tee (1.0MPa) SDR17 dn110x90 Black</v>
          </cell>
          <cell r="F1506">
            <v>1</v>
          </cell>
          <cell r="G1506">
            <v>111120</v>
          </cell>
          <cell r="H1506">
            <v>100109</v>
          </cell>
          <cell r="I1506">
            <v>0.15</v>
          </cell>
          <cell r="J1506">
            <v>117776</v>
          </cell>
          <cell r="K1506">
            <v>0.14</v>
          </cell>
          <cell r="L1506">
            <v>116406</v>
          </cell>
        </row>
        <row r="1507">
          <cell r="C1507">
            <v>8010042270</v>
          </cell>
          <cell r="D1507" t="str">
            <v>90°对接异径三通(PE配件)SDR17(1.0MPa)黑色 dn160X110</v>
          </cell>
          <cell r="E1507" t="str">
            <v>HDPE Butt-Fusion Reducing 90° Tee (1.0MPa) SDR17 dn160x110 Black</v>
          </cell>
          <cell r="F1507">
            <v>1</v>
          </cell>
          <cell r="G1507">
            <v>221866</v>
          </cell>
          <cell r="H1507">
            <v>199880</v>
          </cell>
          <cell r="I1507">
            <v>0.15</v>
          </cell>
          <cell r="J1507">
            <v>235153</v>
          </cell>
          <cell r="K1507">
            <v>0.14</v>
          </cell>
          <cell r="L1507">
            <v>232419</v>
          </cell>
        </row>
        <row r="1508">
          <cell r="C1508">
            <v>8010042271</v>
          </cell>
          <cell r="D1508" t="str">
            <v>90°对接异径三通(PE配件)SDR17(1.0MPa)黑色 dn160X63</v>
          </cell>
          <cell r="E1508" t="str">
            <v>HDPE Butt-Fusion Reducing 90° Tee (1.0MPa) SDR17 dn160x63 Black</v>
          </cell>
          <cell r="F1508">
            <v>1</v>
          </cell>
          <cell r="G1508">
            <v>203869</v>
          </cell>
          <cell r="H1508">
            <v>183666</v>
          </cell>
          <cell r="I1508">
            <v>0.15</v>
          </cell>
          <cell r="J1508">
            <v>216078</v>
          </cell>
          <cell r="K1508">
            <v>0.14</v>
          </cell>
          <cell r="L1508">
            <v>213566</v>
          </cell>
        </row>
        <row r="1509">
          <cell r="C1509">
            <v>8010042272</v>
          </cell>
          <cell r="D1509" t="str">
            <v>90°对接异径三通(PE配件)SDR17(1.0MPa)黑色 dn160X90</v>
          </cell>
          <cell r="E1509" t="str">
            <v>HDPE Butt-Fusion Reducing 90° Tee (1.0MPa) SDR17 dn160x90 Black</v>
          </cell>
          <cell r="F1509">
            <v>1</v>
          </cell>
          <cell r="G1509">
            <v>219819</v>
          </cell>
          <cell r="H1509">
            <v>198036</v>
          </cell>
          <cell r="I1509">
            <v>0.15</v>
          </cell>
          <cell r="J1509">
            <v>232984</v>
          </cell>
          <cell r="K1509">
            <v>0.14</v>
          </cell>
          <cell r="L1509">
            <v>230275</v>
          </cell>
        </row>
        <row r="1510">
          <cell r="C1510">
            <v>8010043037</v>
          </cell>
          <cell r="D1510" t="str">
            <v>90°对接异径三通(PE配件)SDR17(1.0MPa)黑色 dn200X90</v>
          </cell>
          <cell r="E1510" t="str">
            <v>HDPE Butt-Fusion Reducing 90° Tee (1.0MPa) SDR17 dn200x90 Black</v>
          </cell>
          <cell r="F1510">
            <v>1</v>
          </cell>
          <cell r="G1510">
            <v>353147</v>
          </cell>
          <cell r="H1510">
            <v>318151</v>
          </cell>
          <cell r="I1510">
            <v>0.15</v>
          </cell>
          <cell r="J1510">
            <v>374296</v>
          </cell>
          <cell r="K1510">
            <v>0.14</v>
          </cell>
          <cell r="L1510">
            <v>369944</v>
          </cell>
        </row>
        <row r="1511">
          <cell r="C1511">
            <v>8010040809</v>
          </cell>
          <cell r="D1511" t="str">
            <v>90°对接异径三通(PE配件)SDR17(1.0MPa)黑色 dn110X63</v>
          </cell>
          <cell r="E1511" t="str">
            <v>HDPE Butt-Fusion Reducing 90° Tee (1.0MPa) SDR17 dn110x63 Black</v>
          </cell>
          <cell r="F1511">
            <v>1</v>
          </cell>
          <cell r="G1511">
            <v>103830</v>
          </cell>
          <cell r="H1511">
            <v>93541</v>
          </cell>
          <cell r="I1511">
            <v>0.15</v>
          </cell>
          <cell r="J1511">
            <v>110049</v>
          </cell>
          <cell r="K1511">
            <v>0.14</v>
          </cell>
          <cell r="L1511">
            <v>108769</v>
          </cell>
        </row>
        <row r="1512">
          <cell r="C1512">
            <v>8010040810</v>
          </cell>
          <cell r="D1512" t="str">
            <v>90°对接异径三通(PE配件)SDR17(1.0MPa)黑色 dn110X75</v>
          </cell>
          <cell r="E1512" t="str">
            <v>HDPE Butt-Fusion Reducing 90° Tee (1.0MPa) SDR17 dn110x75 Black</v>
          </cell>
          <cell r="F1512">
            <v>1</v>
          </cell>
          <cell r="G1512">
            <v>107026</v>
          </cell>
          <cell r="H1512">
            <v>96420</v>
          </cell>
          <cell r="I1512">
            <v>0.15</v>
          </cell>
          <cell r="J1512">
            <v>113436</v>
          </cell>
          <cell r="K1512">
            <v>0.14</v>
          </cell>
          <cell r="L1512">
            <v>112117</v>
          </cell>
        </row>
        <row r="1513">
          <cell r="C1513">
            <v>8010040811</v>
          </cell>
          <cell r="D1513" t="str">
            <v>90°对接异径三通(PE配件)SDR17(1.0MPa)黑色 dn160X75</v>
          </cell>
          <cell r="E1513" t="str">
            <v>HDPE Butt-Fusion Reducing 90° Tee (1.0MPa) SDR17 dn160x75 Black</v>
          </cell>
          <cell r="F1513">
            <v>1</v>
          </cell>
          <cell r="G1513">
            <v>215004</v>
          </cell>
          <cell r="H1513">
            <v>193698</v>
          </cell>
          <cell r="I1513">
            <v>0.15</v>
          </cell>
          <cell r="J1513">
            <v>227880</v>
          </cell>
          <cell r="K1513">
            <v>0.14</v>
          </cell>
          <cell r="L1513">
            <v>225231</v>
          </cell>
        </row>
        <row r="1514">
          <cell r="C1514">
            <v>8010040812</v>
          </cell>
          <cell r="D1514" t="str">
            <v>90°对接异径三通(PE配件)SDR17(1.0MPa)黑色 dn200X110</v>
          </cell>
          <cell r="E1514" t="str">
            <v>HDPE Butt-Fusion Reducing 90° Tee (1.0MPa) SDR17 dn200x110 Black</v>
          </cell>
          <cell r="F1514">
            <v>1</v>
          </cell>
          <cell r="G1514">
            <v>337419</v>
          </cell>
          <cell r="H1514">
            <v>303982</v>
          </cell>
          <cell r="I1514">
            <v>0.15</v>
          </cell>
          <cell r="J1514">
            <v>357626</v>
          </cell>
          <cell r="K1514">
            <v>0.14</v>
          </cell>
          <cell r="L1514">
            <v>353468</v>
          </cell>
        </row>
        <row r="1515">
          <cell r="C1515">
            <v>8010040813</v>
          </cell>
          <cell r="D1515" t="str">
            <v>90°对接异径三通(PE配件)SDR17(1.0MPa)黑色 dn200X160</v>
          </cell>
          <cell r="E1515" t="str">
            <v>HDPE Butt-Fusion Reducing 90° Tee (1.0MPa) SDR17 dn200x160 Black</v>
          </cell>
          <cell r="F1515">
            <v>1</v>
          </cell>
          <cell r="G1515">
            <v>365707</v>
          </cell>
          <cell r="H1515">
            <v>329466</v>
          </cell>
          <cell r="I1515">
            <v>0.15</v>
          </cell>
          <cell r="J1515">
            <v>387608</v>
          </cell>
          <cell r="K1515">
            <v>0.14</v>
          </cell>
          <cell r="L1515">
            <v>383100</v>
          </cell>
        </row>
        <row r="1516">
          <cell r="C1516">
            <v>8010045432</v>
          </cell>
          <cell r="D1516" t="str">
            <v>90°对接异径三通(PE配件)SDR11(1.6MPa)黑色 dn250X225</v>
          </cell>
          <cell r="E1516" t="str">
            <v>HDPE Butt-Fusion Reducing 90° Tee (1.6MPa) SDR11 dn250x225 Black</v>
          </cell>
          <cell r="F1516">
            <v>1</v>
          </cell>
          <cell r="G1516">
            <v>962866</v>
          </cell>
          <cell r="H1516">
            <v>867447</v>
          </cell>
          <cell r="I1516">
            <v>0.15</v>
          </cell>
          <cell r="J1516">
            <v>1020526</v>
          </cell>
          <cell r="K1516">
            <v>0.14</v>
          </cell>
          <cell r="L1516">
            <v>1008660</v>
          </cell>
        </row>
        <row r="1517">
          <cell r="C1517">
            <v>8010046190</v>
          </cell>
          <cell r="D1517" t="str">
            <v>90°对接异径三通(PE配件)SDR11(1.6MPa)黑色 dn225×110</v>
          </cell>
          <cell r="E1517" t="str">
            <v>HDPE Butt-Fusion Reducing 90° Tee (1.6MPa) SDR11 dn225x110 Black</v>
          </cell>
          <cell r="F1517">
            <v>1</v>
          </cell>
          <cell r="G1517">
            <v>596999</v>
          </cell>
          <cell r="H1517">
            <v>537837</v>
          </cell>
          <cell r="I1517">
            <v>0.15</v>
          </cell>
          <cell r="J1517">
            <v>632750</v>
          </cell>
          <cell r="K1517">
            <v>0.14</v>
          </cell>
          <cell r="L1517">
            <v>625392</v>
          </cell>
        </row>
        <row r="1518">
          <cell r="C1518">
            <v>8010045523</v>
          </cell>
          <cell r="D1518" t="str">
            <v>90°对接异径三通(PE配件)SDR11(1.6MPa)黑色 dn225X160</v>
          </cell>
          <cell r="E1518" t="str">
            <v>HDPE Butt-Fusion Reducing 90° Tee (1.6MPa) SDR11 dn225x160 Black</v>
          </cell>
          <cell r="F1518">
            <v>1</v>
          </cell>
          <cell r="G1518">
            <v>633965</v>
          </cell>
          <cell r="H1518">
            <v>571140</v>
          </cell>
          <cell r="I1518">
            <v>0.15</v>
          </cell>
          <cell r="J1518">
            <v>671930</v>
          </cell>
          <cell r="K1518">
            <v>0.14</v>
          </cell>
          <cell r="L1518">
            <v>664117</v>
          </cell>
        </row>
        <row r="1519">
          <cell r="C1519">
            <v>8010045559</v>
          </cell>
          <cell r="D1519" t="str">
            <v>90°对接异径三通(PE配件)SDR11(1.6MPa)黑色 dn250X75</v>
          </cell>
          <cell r="E1519" t="str">
            <v>HDPE Butt-Fusion Reducing 90° Tee (1.6MPa) SDR11 dn250x75 Black</v>
          </cell>
          <cell r="F1519">
            <v>1</v>
          </cell>
          <cell r="G1519">
            <v>758392</v>
          </cell>
          <cell r="H1519">
            <v>683237</v>
          </cell>
          <cell r="I1519">
            <v>0.15</v>
          </cell>
          <cell r="J1519">
            <v>803809</v>
          </cell>
          <cell r="K1519">
            <v>0.14</v>
          </cell>
          <cell r="L1519">
            <v>794462</v>
          </cell>
        </row>
        <row r="1520">
          <cell r="C1520">
            <v>8010044907</v>
          </cell>
          <cell r="D1520" t="str">
            <v>90°对接异径三通(PE配件)SDR11(1.6MPa)黑色 dn315X180</v>
          </cell>
          <cell r="E1520" t="str">
            <v>HDPE Butt-Fusion Reducing 90° Tee (1.6MPa) SDR11 dn315x180 Black</v>
          </cell>
          <cell r="F1520">
            <v>1</v>
          </cell>
          <cell r="G1520">
            <v>1538894</v>
          </cell>
          <cell r="H1520">
            <v>1386391</v>
          </cell>
          <cell r="I1520">
            <v>0.15</v>
          </cell>
          <cell r="J1520">
            <v>1631049</v>
          </cell>
          <cell r="K1520">
            <v>0.14</v>
          </cell>
          <cell r="L1520">
            <v>1612083</v>
          </cell>
        </row>
        <row r="1521">
          <cell r="C1521">
            <v>8010044442</v>
          </cell>
          <cell r="D1521" t="str">
            <v>90°对接异径三通(PE配件)SDR11(1.6MPa)黑色 dn315X110</v>
          </cell>
          <cell r="E1521" t="str">
            <v>HDPE Butt-Fusion Reducing 90° Tee (1.6MPa) SDR11 dn315x110 Black</v>
          </cell>
          <cell r="F1521">
            <v>1</v>
          </cell>
          <cell r="G1521">
            <v>1344994</v>
          </cell>
          <cell r="H1521">
            <v>1211707</v>
          </cell>
          <cell r="I1521">
            <v>0.15</v>
          </cell>
          <cell r="J1521">
            <v>1425538</v>
          </cell>
          <cell r="K1521">
            <v>0.14</v>
          </cell>
          <cell r="L1521">
            <v>1408962</v>
          </cell>
        </row>
        <row r="1522">
          <cell r="C1522">
            <v>8010044443</v>
          </cell>
          <cell r="D1522" t="str">
            <v>90°对接异径三通(PE配件)SDR11(1.6MPa)黑色 dn315X160</v>
          </cell>
          <cell r="E1522" t="str">
            <v>HDPE Butt-Fusion Reducing 90° Tee (1.6MPa) SDR11 dn315x160 Black</v>
          </cell>
          <cell r="F1522">
            <v>1</v>
          </cell>
          <cell r="G1522">
            <v>1389473</v>
          </cell>
          <cell r="H1522">
            <v>1251778</v>
          </cell>
          <cell r="I1522">
            <v>0.15</v>
          </cell>
          <cell r="J1522">
            <v>1472680</v>
          </cell>
          <cell r="K1522">
            <v>0.14</v>
          </cell>
          <cell r="L1522">
            <v>1455556</v>
          </cell>
        </row>
        <row r="1523">
          <cell r="C1523">
            <v>8010044444</v>
          </cell>
          <cell r="D1523" t="str">
            <v>90°对接异径三通(PE配件)SDR11(1.6MPa)黑色 dn315X200</v>
          </cell>
          <cell r="E1523" t="str">
            <v>HDPE Butt-Fusion Reducing 90° Tee (1.6MPa) SDR11 dn315x200 Black</v>
          </cell>
          <cell r="F1523">
            <v>1</v>
          </cell>
          <cell r="G1523">
            <v>1615896</v>
          </cell>
          <cell r="H1523">
            <v>1455763</v>
          </cell>
          <cell r="I1523">
            <v>0.15</v>
          </cell>
          <cell r="J1523">
            <v>1712663</v>
          </cell>
          <cell r="K1523">
            <v>0.14</v>
          </cell>
          <cell r="L1523">
            <v>1692748</v>
          </cell>
        </row>
        <row r="1524">
          <cell r="C1524">
            <v>8010044445</v>
          </cell>
          <cell r="D1524" t="str">
            <v>90°对接异径三通(PE配件)SDR11(1.6MPa)黑色 dn315X250</v>
          </cell>
          <cell r="E1524" t="str">
            <v>HDPE Butt-Fusion Reducing 90° Tee (1.6MPa) SDR11 dn315x250 Black</v>
          </cell>
          <cell r="F1524">
            <v>1</v>
          </cell>
          <cell r="G1524">
            <v>1698177</v>
          </cell>
          <cell r="H1524">
            <v>1529890</v>
          </cell>
          <cell r="I1524">
            <v>0.15</v>
          </cell>
          <cell r="J1524">
            <v>1799871</v>
          </cell>
          <cell r="K1524">
            <v>0.14</v>
          </cell>
          <cell r="L1524">
            <v>1778942</v>
          </cell>
        </row>
        <row r="1525">
          <cell r="C1525">
            <v>8010044568</v>
          </cell>
          <cell r="D1525" t="str">
            <v>90°对接异径三通(PE配件)SDR11(1.6MPa)黑色 dn200X63</v>
          </cell>
          <cell r="E1525" t="str">
            <v>HDPE Butt-Fusion Reducing 90° Tee (1.6MPa) SDR11 dn200x63 Black</v>
          </cell>
          <cell r="F1525">
            <v>1</v>
          </cell>
          <cell r="G1525">
            <v>353067</v>
          </cell>
          <cell r="H1525">
            <v>318079</v>
          </cell>
          <cell r="I1525">
            <v>0.15</v>
          </cell>
          <cell r="J1525">
            <v>374211</v>
          </cell>
          <cell r="K1525">
            <v>0.14</v>
          </cell>
          <cell r="L1525">
            <v>369860</v>
          </cell>
        </row>
        <row r="1526">
          <cell r="C1526">
            <v>8010043379</v>
          </cell>
          <cell r="D1526" t="str">
            <v>90°对接异径三通(PE配件)SDR11(1.6MPa)黑色 dn90X75</v>
          </cell>
          <cell r="E1526" t="str">
            <v>HDPE Butt-Fusion Reducing 90° Tee (1.6MPa) SDR11 dn90x75 Black</v>
          </cell>
          <cell r="F1526">
            <v>1</v>
          </cell>
          <cell r="G1526">
            <v>77563</v>
          </cell>
          <cell r="H1526">
            <v>69877</v>
          </cell>
          <cell r="I1526">
            <v>0.15</v>
          </cell>
          <cell r="J1526">
            <v>82209</v>
          </cell>
          <cell r="K1526">
            <v>0.14</v>
          </cell>
          <cell r="L1526">
            <v>81253</v>
          </cell>
        </row>
        <row r="1527">
          <cell r="C1527">
            <v>8010044487</v>
          </cell>
          <cell r="D1527" t="str">
            <v>90°对接异径三通(PE配件)SDR11(1.6MPa)黑色 dn400X315</v>
          </cell>
          <cell r="E1527" t="str">
            <v>HDPE Butt-Fusion Reducing 90° Tee (1.6MPa) SDR11 dn400x315 Black</v>
          </cell>
          <cell r="F1527">
            <v>1</v>
          </cell>
          <cell r="G1527">
            <v>3370283</v>
          </cell>
          <cell r="H1527">
            <v>3036291</v>
          </cell>
          <cell r="I1527">
            <v>0.15</v>
          </cell>
          <cell r="J1527">
            <v>3572108</v>
          </cell>
          <cell r="K1527">
            <v>0.14</v>
          </cell>
          <cell r="L1527">
            <v>3530571</v>
          </cell>
        </row>
        <row r="1528">
          <cell r="C1528">
            <v>8010043357</v>
          </cell>
          <cell r="D1528" t="str">
            <v>90°对接异径三通(PE配件)SDR11(1.6MPa)黑色 dn90X63</v>
          </cell>
          <cell r="E1528" t="str">
            <v>HDPE Butt-Fusion Reducing 90° Tee (1.6MPa) SDR11 dn90x63 Black</v>
          </cell>
          <cell r="F1528">
            <v>1</v>
          </cell>
          <cell r="G1528">
            <v>68200</v>
          </cell>
          <cell r="H1528">
            <v>61442</v>
          </cell>
          <cell r="I1528">
            <v>0.15</v>
          </cell>
          <cell r="J1528">
            <v>72285</v>
          </cell>
          <cell r="K1528">
            <v>0.14</v>
          </cell>
          <cell r="L1528">
            <v>71445</v>
          </cell>
        </row>
        <row r="1529">
          <cell r="C1529">
            <v>8010042265</v>
          </cell>
          <cell r="D1529" t="str">
            <v>90°对接异径三通(PE配件)SDR11(1.6MPa)黑色 dn200X90</v>
          </cell>
          <cell r="E1529" t="str">
            <v>HDPE Butt-Fusion Reducing 90° Tee (1.6MPa) SDR11 dn200x90 Black</v>
          </cell>
          <cell r="F1529">
            <v>1</v>
          </cell>
          <cell r="G1529">
            <v>372079</v>
          </cell>
          <cell r="H1529">
            <v>335207</v>
          </cell>
          <cell r="I1529">
            <v>0.15</v>
          </cell>
          <cell r="J1529">
            <v>394362</v>
          </cell>
          <cell r="K1529">
            <v>0.14</v>
          </cell>
          <cell r="L1529">
            <v>389776</v>
          </cell>
        </row>
        <row r="1530">
          <cell r="C1530">
            <v>8010042747</v>
          </cell>
          <cell r="D1530" t="str">
            <v>90°对接异径三通(PE配件)SDR11(1.6MPa)黑色 dn250X200</v>
          </cell>
          <cell r="E1530" t="str">
            <v>HDPE Butt-Fusion Reducing 90° Tee (1.6MPa) SDR11 dn250x200 Black</v>
          </cell>
          <cell r="F1530">
            <v>1</v>
          </cell>
          <cell r="G1530">
            <v>954810</v>
          </cell>
          <cell r="H1530">
            <v>860190</v>
          </cell>
          <cell r="I1530">
            <v>0.15</v>
          </cell>
          <cell r="J1530">
            <v>1011989</v>
          </cell>
          <cell r="K1530">
            <v>0.14</v>
          </cell>
          <cell r="L1530">
            <v>1000221</v>
          </cell>
        </row>
        <row r="1531">
          <cell r="C1531">
            <v>8010042984</v>
          </cell>
          <cell r="D1531" t="str">
            <v>90°对接异径三通(PE配件)SDR11(1.6MPa)黑色 dn250X63</v>
          </cell>
          <cell r="E1531" t="str">
            <v>HDPE Butt-Fusion Reducing 90° Tee (1.6MPa) SDR11 dn250x63 Black</v>
          </cell>
          <cell r="F1531">
            <v>1</v>
          </cell>
          <cell r="G1531">
            <v>699734</v>
          </cell>
          <cell r="H1531">
            <v>630391</v>
          </cell>
          <cell r="I1531">
            <v>0.15</v>
          </cell>
          <cell r="J1531">
            <v>741637</v>
          </cell>
          <cell r="K1531">
            <v>0.14</v>
          </cell>
          <cell r="L1531">
            <v>733013</v>
          </cell>
        </row>
        <row r="1532">
          <cell r="C1532">
            <v>8010040789</v>
          </cell>
          <cell r="D1532" t="str">
            <v>90°对接异径三通(PE配件)SDR11(1.6MPa)黑色 dn110X63</v>
          </cell>
          <cell r="E1532" t="str">
            <v>HDPE Butt-Fusion Reducing 90° Tee (1.6MPa) SDR11 dn110x63 Black</v>
          </cell>
          <cell r="F1532">
            <v>1</v>
          </cell>
          <cell r="G1532">
            <v>108619</v>
          </cell>
          <cell r="H1532">
            <v>97855</v>
          </cell>
          <cell r="I1532">
            <v>0.15</v>
          </cell>
          <cell r="J1532">
            <v>115124</v>
          </cell>
          <cell r="K1532">
            <v>0.14</v>
          </cell>
          <cell r="L1532">
            <v>113785</v>
          </cell>
        </row>
        <row r="1533">
          <cell r="C1533">
            <v>8010040790</v>
          </cell>
          <cell r="D1533" t="str">
            <v>90°对接异径三通(PE配件)SDR11(1.6MPa)黑色 dn110X75</v>
          </cell>
          <cell r="E1533" t="str">
            <v>HDPE Butt-Fusion Reducing 90° Tee (1.6MPa) SDR11 dn110x75 Black</v>
          </cell>
          <cell r="F1533">
            <v>1</v>
          </cell>
          <cell r="G1533">
            <v>111120</v>
          </cell>
          <cell r="H1533">
            <v>100109</v>
          </cell>
          <cell r="I1533">
            <v>0.15</v>
          </cell>
          <cell r="J1533">
            <v>117776</v>
          </cell>
          <cell r="K1533">
            <v>0.14</v>
          </cell>
          <cell r="L1533">
            <v>116406</v>
          </cell>
        </row>
        <row r="1534">
          <cell r="C1534">
            <v>8010040791</v>
          </cell>
          <cell r="D1534" t="str">
            <v>90°对接异径三通(PE配件)SDR11(1.6MPa)黑色 dn110X90</v>
          </cell>
          <cell r="E1534" t="str">
            <v>HDPE Butt-Fusion Reducing 90° Tee (1.6MPa) SDR11 dn110x90 Black</v>
          </cell>
          <cell r="F1534">
            <v>1</v>
          </cell>
          <cell r="G1534">
            <v>116968</v>
          </cell>
          <cell r="H1534">
            <v>105377</v>
          </cell>
          <cell r="I1534">
            <v>0.15</v>
          </cell>
          <cell r="J1534">
            <v>123973</v>
          </cell>
          <cell r="K1534">
            <v>0.14</v>
          </cell>
          <cell r="L1534">
            <v>122532</v>
          </cell>
        </row>
        <row r="1535">
          <cell r="C1535">
            <v>8010040792</v>
          </cell>
          <cell r="D1535" t="str">
            <v>90°对接异径三通(PE配件)SDR11(1.6MPa)黑色 dn125X110</v>
          </cell>
          <cell r="E1535" t="str">
            <v>HDPE Butt-Fusion Reducing 90° Tee (1.6MPa) SDR11 dn125x110 Black</v>
          </cell>
          <cell r="F1535">
            <v>1</v>
          </cell>
          <cell r="G1535">
            <v>195822</v>
          </cell>
          <cell r="H1535">
            <v>176417</v>
          </cell>
          <cell r="I1535">
            <v>0.15</v>
          </cell>
          <cell r="J1535">
            <v>207550</v>
          </cell>
          <cell r="K1535">
            <v>0.14</v>
          </cell>
          <cell r="L1535">
            <v>205137</v>
          </cell>
        </row>
        <row r="1536">
          <cell r="C1536">
            <v>8010040793</v>
          </cell>
          <cell r="D1536" t="str">
            <v>90°对接异径三通(PE配件)SDR11(1.6MPa)黑色 dn160X110</v>
          </cell>
          <cell r="E1536" t="str">
            <v>HDPE Butt-Fusion Reducing 90° Tee (1.6MPa) SDR11 dn160x110 Black</v>
          </cell>
          <cell r="F1536">
            <v>1</v>
          </cell>
          <cell r="G1536">
            <v>228533</v>
          </cell>
          <cell r="H1536">
            <v>205886</v>
          </cell>
          <cell r="I1536">
            <v>0.15</v>
          </cell>
          <cell r="J1536">
            <v>242219</v>
          </cell>
          <cell r="K1536">
            <v>0.14</v>
          </cell>
          <cell r="L1536">
            <v>239403</v>
          </cell>
        </row>
        <row r="1537">
          <cell r="C1537">
            <v>8010040794</v>
          </cell>
          <cell r="D1537" t="str">
            <v>90°对接异径三通(PE配件)SDR11(1.6MPa)黑色 dn160X63</v>
          </cell>
          <cell r="E1537" t="str">
            <v>HDPE Butt-Fusion Reducing 90° Tee (1.6MPa) SDR11 dn160x63 Black</v>
          </cell>
          <cell r="F1537">
            <v>1</v>
          </cell>
          <cell r="G1537">
            <v>208871</v>
          </cell>
          <cell r="H1537">
            <v>188173</v>
          </cell>
          <cell r="I1537">
            <v>0.15</v>
          </cell>
          <cell r="J1537">
            <v>221380</v>
          </cell>
          <cell r="K1537">
            <v>0.14</v>
          </cell>
          <cell r="L1537">
            <v>218806</v>
          </cell>
        </row>
        <row r="1538">
          <cell r="C1538">
            <v>8010040795</v>
          </cell>
          <cell r="D1538" t="str">
            <v>90°对接异径三通(PE配件)SDR11(1.6MPa)黑色 dn160X75</v>
          </cell>
          <cell r="E1538" t="str">
            <v>HDPE Butt-Fusion Reducing 90° Tee (1.6MPa) SDR11 dn160x75 Black</v>
          </cell>
          <cell r="F1538">
            <v>1</v>
          </cell>
          <cell r="G1538">
            <v>220068</v>
          </cell>
          <cell r="H1538">
            <v>198260</v>
          </cell>
          <cell r="I1538">
            <v>0.15</v>
          </cell>
          <cell r="J1538">
            <v>233248</v>
          </cell>
          <cell r="K1538">
            <v>0.14</v>
          </cell>
          <cell r="L1538">
            <v>230535</v>
          </cell>
        </row>
        <row r="1539">
          <cell r="C1539">
            <v>8010040796</v>
          </cell>
          <cell r="D1539" t="str">
            <v>90°对接异径三通(PE配件)SDR11(1.6MPa)黑色 dn160X90</v>
          </cell>
          <cell r="E1539" t="str">
            <v>HDPE Butt-Fusion Reducing 90° Tee (1.6MPa) SDR11 dn160x90 Black</v>
          </cell>
          <cell r="F1539">
            <v>1</v>
          </cell>
          <cell r="G1539">
            <v>225640</v>
          </cell>
          <cell r="H1539">
            <v>203280</v>
          </cell>
          <cell r="I1539">
            <v>0.15</v>
          </cell>
          <cell r="J1539">
            <v>239153</v>
          </cell>
          <cell r="K1539">
            <v>0.14</v>
          </cell>
          <cell r="L1539">
            <v>236373</v>
          </cell>
        </row>
        <row r="1540">
          <cell r="C1540">
            <v>8010040797</v>
          </cell>
          <cell r="D1540" t="str">
            <v>90°对接异径三通(PE配件)SDR11(1.6MPa)黑色 dn200X110</v>
          </cell>
          <cell r="E1540" t="str">
            <v>HDPE Butt-Fusion Reducing 90° Tee (1.6MPa) SDR11 dn200x110 Black</v>
          </cell>
          <cell r="F1540">
            <v>1</v>
          </cell>
          <cell r="G1540">
            <v>368733</v>
          </cell>
          <cell r="H1540">
            <v>332192</v>
          </cell>
          <cell r="I1540">
            <v>0.15</v>
          </cell>
          <cell r="J1540">
            <v>390815</v>
          </cell>
          <cell r="K1540">
            <v>0.14</v>
          </cell>
          <cell r="L1540">
            <v>386270</v>
          </cell>
        </row>
        <row r="1541">
          <cell r="C1541">
            <v>8010040798</v>
          </cell>
          <cell r="D1541" t="str">
            <v>90°对接异径三通(PE配件)SDR11(1.6MPa)黑色 dn200X160</v>
          </cell>
          <cell r="E1541" t="str">
            <v>HDPE Butt-Fusion Reducing 90° Tee (1.6MPa) SDR11 dn200x160 Black</v>
          </cell>
          <cell r="F1541">
            <v>1</v>
          </cell>
          <cell r="G1541">
            <v>477058</v>
          </cell>
          <cell r="H1541">
            <v>429782</v>
          </cell>
          <cell r="I1541">
            <v>0.15</v>
          </cell>
          <cell r="J1541">
            <v>505626</v>
          </cell>
          <cell r="K1541">
            <v>0.14</v>
          </cell>
          <cell r="L1541">
            <v>499747</v>
          </cell>
        </row>
        <row r="1542">
          <cell r="C1542">
            <v>8010040799</v>
          </cell>
          <cell r="D1542" t="str">
            <v>90°对接异径三通(PE配件)SDR11(1.6MPa)黑色 dn250X110</v>
          </cell>
          <cell r="E1542" t="str">
            <v>HDPE Butt-Fusion Reducing 90° Tee (1.6MPa) SDR11 dn250x110 Black</v>
          </cell>
          <cell r="F1542">
            <v>1</v>
          </cell>
          <cell r="G1542">
            <v>891577</v>
          </cell>
          <cell r="H1542">
            <v>803223</v>
          </cell>
          <cell r="I1542">
            <v>0.15</v>
          </cell>
          <cell r="J1542">
            <v>944969</v>
          </cell>
          <cell r="K1542">
            <v>0.14</v>
          </cell>
          <cell r="L1542">
            <v>933981</v>
          </cell>
        </row>
        <row r="1543">
          <cell r="C1543">
            <v>8010040800</v>
          </cell>
          <cell r="D1543" t="str">
            <v>90°对接异径三通(PE配件)SDR11(1.6MPa)黑色 dn250X160</v>
          </cell>
          <cell r="E1543" t="str">
            <v>HDPE Butt-Fusion Reducing 90° Tee (1.6MPa) SDR11 dn250x160 Black</v>
          </cell>
          <cell r="F1543">
            <v>1</v>
          </cell>
          <cell r="G1543">
            <v>935468</v>
          </cell>
          <cell r="H1543">
            <v>842764</v>
          </cell>
          <cell r="I1543">
            <v>0.15</v>
          </cell>
          <cell r="J1543">
            <v>991488</v>
          </cell>
          <cell r="K1543">
            <v>0.14</v>
          </cell>
          <cell r="L1543">
            <v>979959</v>
          </cell>
        </row>
        <row r="1544">
          <cell r="C1544">
            <v>8010044505</v>
          </cell>
          <cell r="D1544" t="str">
            <v>对接法兰套(PE配件)SDR17(1.0MPa)黑色 dn50</v>
          </cell>
          <cell r="E1544" t="str">
            <v>HDPE Butt-Fusion Stub Flange (1.0MPa) SDR17 dn50 Black</v>
          </cell>
          <cell r="F1544">
            <v>1</v>
          </cell>
          <cell r="G1544">
            <v>29053</v>
          </cell>
          <cell r="H1544">
            <v>26174</v>
          </cell>
          <cell r="I1544">
            <v>0.15</v>
          </cell>
          <cell r="J1544">
            <v>30793</v>
          </cell>
          <cell r="K1544">
            <v>0.14</v>
          </cell>
          <cell r="L1544">
            <v>30435</v>
          </cell>
        </row>
        <row r="1545">
          <cell r="C1545">
            <v>8010041552</v>
          </cell>
          <cell r="D1545" t="str">
            <v>对接法兰套(PE配件)SDR17(1.0MPa)黑色 dn90</v>
          </cell>
          <cell r="E1545" t="str">
            <v>HDPE Butt-Fusion Stub Flange (1.0MPa) SDR17 dn90 Black</v>
          </cell>
          <cell r="F1545">
            <v>1</v>
          </cell>
          <cell r="G1545">
            <v>34639</v>
          </cell>
          <cell r="H1545">
            <v>31207</v>
          </cell>
          <cell r="I1545">
            <v>0.15</v>
          </cell>
          <cell r="J1545">
            <v>36715</v>
          </cell>
          <cell r="K1545">
            <v>0.14</v>
          </cell>
          <cell r="L1545">
            <v>36288</v>
          </cell>
        </row>
        <row r="1546">
          <cell r="C1546">
            <v>8010042208</v>
          </cell>
          <cell r="D1546" t="str">
            <v>对接法兰套(PE配件)SDR17(1.0MPa)黑色 dn125</v>
          </cell>
          <cell r="E1546" t="str">
            <v>HDPE Butt-Fusion Stub Flange (1.0MPa) SDR17 dn125 Black</v>
          </cell>
          <cell r="F1546">
            <v>1</v>
          </cell>
          <cell r="G1546">
            <v>59613</v>
          </cell>
          <cell r="H1546">
            <v>53706</v>
          </cell>
          <cell r="I1546">
            <v>0.15</v>
          </cell>
          <cell r="J1546">
            <v>63184</v>
          </cell>
          <cell r="K1546">
            <v>0.14</v>
          </cell>
          <cell r="L1546">
            <v>62449</v>
          </cell>
        </row>
        <row r="1547">
          <cell r="C1547">
            <v>8010042209</v>
          </cell>
          <cell r="D1547" t="str">
            <v>对接法兰套(PE配件)SDR17(1.0MPa)黑色 dn180</v>
          </cell>
          <cell r="E1547" t="str">
            <v>HDPE Butt-Fusion Stub Flange (1.0MPa) SDR17 dn180 Black</v>
          </cell>
          <cell r="F1547">
            <v>1</v>
          </cell>
          <cell r="G1547">
            <v>130927</v>
          </cell>
          <cell r="H1547">
            <v>117953</v>
          </cell>
          <cell r="I1547">
            <v>0.15</v>
          </cell>
          <cell r="J1547">
            <v>138769</v>
          </cell>
          <cell r="K1547">
            <v>0.14</v>
          </cell>
          <cell r="L1547">
            <v>137155</v>
          </cell>
        </row>
        <row r="1548">
          <cell r="C1548">
            <v>8010042213</v>
          </cell>
          <cell r="D1548" t="str">
            <v>对接法兰套(PE配件)SDR17(1.0MPa)黑色 dn63</v>
          </cell>
          <cell r="E1548" t="str">
            <v>HDPE Butt-Fusion Stub Flange (1.0MPa) SDR17 dn63 Black</v>
          </cell>
          <cell r="F1548">
            <v>1</v>
          </cell>
          <cell r="G1548">
            <v>20832</v>
          </cell>
          <cell r="H1548">
            <v>18768</v>
          </cell>
          <cell r="I1548">
            <v>0.15</v>
          </cell>
          <cell r="J1548">
            <v>22080</v>
          </cell>
          <cell r="K1548">
            <v>0.14</v>
          </cell>
          <cell r="L1548">
            <v>21824</v>
          </cell>
        </row>
        <row r="1549">
          <cell r="C1549">
            <v>8010040659</v>
          </cell>
          <cell r="D1549" t="str">
            <v>对接法兰套(PE配件)SDR17(1.0MPa)黑色 dn630</v>
          </cell>
          <cell r="E1549" t="str">
            <v>HDPE Butt-Fusion Stub Flange (1.0MPa) SDR17 dn630 Black</v>
          </cell>
          <cell r="F1549">
            <v>1</v>
          </cell>
          <cell r="G1549">
            <v>1826804</v>
          </cell>
          <cell r="H1549">
            <v>1645770</v>
          </cell>
          <cell r="I1549">
            <v>0.15</v>
          </cell>
          <cell r="J1549">
            <v>1936200</v>
          </cell>
          <cell r="K1549">
            <v>0.14</v>
          </cell>
          <cell r="L1549">
            <v>1913687</v>
          </cell>
        </row>
        <row r="1550">
          <cell r="C1550">
            <v>8010040595</v>
          </cell>
          <cell r="D1550" t="str">
            <v>对接法兰套(PE配件)SDR17(1.0MPa)黑色 dn110</v>
          </cell>
          <cell r="E1550" t="str">
            <v>HDPE Butt-Fusion Stub Flange (1.0MPa) SDR17 dn110 Black</v>
          </cell>
          <cell r="F1550">
            <v>1</v>
          </cell>
          <cell r="G1550">
            <v>51605</v>
          </cell>
          <cell r="H1550">
            <v>46491</v>
          </cell>
          <cell r="I1550">
            <v>0.15</v>
          </cell>
          <cell r="J1550">
            <v>54696</v>
          </cell>
          <cell r="K1550">
            <v>0.14</v>
          </cell>
          <cell r="L1550">
            <v>54060</v>
          </cell>
        </row>
        <row r="1551">
          <cell r="C1551">
            <v>8010040597</v>
          </cell>
          <cell r="D1551" t="str">
            <v>对接法兰套(PE配件)SDR17(1.0MPa)黑色 dn160</v>
          </cell>
          <cell r="E1551" t="str">
            <v>HDPE Butt-Fusion Stub Flange (1.0MPa) SDR17 dn160 Black</v>
          </cell>
          <cell r="F1551">
            <v>1</v>
          </cell>
          <cell r="G1551">
            <v>105052</v>
          </cell>
          <cell r="H1551">
            <v>94642</v>
          </cell>
          <cell r="I1551">
            <v>0.15</v>
          </cell>
          <cell r="J1551">
            <v>111344</v>
          </cell>
          <cell r="K1551">
            <v>0.14</v>
          </cell>
          <cell r="L1551">
            <v>110049</v>
          </cell>
        </row>
        <row r="1552">
          <cell r="C1552">
            <v>8010040598</v>
          </cell>
          <cell r="D1552" t="str">
            <v>对接法兰套(PE配件)SDR17(1.0MPa)黑色 dn200</v>
          </cell>
          <cell r="E1552" t="str">
            <v>HDPE Butt-Fusion Stub Flange (1.0MPa) SDR17 dn200 Black</v>
          </cell>
          <cell r="F1552">
            <v>1</v>
          </cell>
          <cell r="G1552">
            <v>151759</v>
          </cell>
          <cell r="H1552">
            <v>136720</v>
          </cell>
          <cell r="I1552">
            <v>0.15</v>
          </cell>
          <cell r="J1552">
            <v>160848</v>
          </cell>
          <cell r="K1552">
            <v>0.14</v>
          </cell>
          <cell r="L1552">
            <v>158977</v>
          </cell>
        </row>
        <row r="1553">
          <cell r="C1553">
            <v>8010040599</v>
          </cell>
          <cell r="D1553" t="str">
            <v>对接法兰套(PE配件)SDR17(1.0MPa)黑色 dn225</v>
          </cell>
          <cell r="E1553" t="str">
            <v>HDPE Butt-Fusion Stub Flange (1.0MPa) SDR17 dn225 Black</v>
          </cell>
          <cell r="F1553">
            <v>1</v>
          </cell>
          <cell r="G1553">
            <v>211755</v>
          </cell>
          <cell r="H1553">
            <v>190771</v>
          </cell>
          <cell r="I1553">
            <v>0.15</v>
          </cell>
          <cell r="J1553">
            <v>224437</v>
          </cell>
          <cell r="K1553">
            <v>0.14</v>
          </cell>
          <cell r="L1553">
            <v>221827</v>
          </cell>
        </row>
        <row r="1554">
          <cell r="C1554">
            <v>8010040600</v>
          </cell>
          <cell r="D1554" t="str">
            <v>对接法兰套(PE配件)SDR17(1.0MPa)黑色 dn250</v>
          </cell>
          <cell r="E1554" t="str">
            <v>HDPE Butt-Fusion Stub Flange (1.0MPa) SDR17 dn250 Black</v>
          </cell>
          <cell r="F1554">
            <v>1</v>
          </cell>
          <cell r="G1554">
            <v>194810</v>
          </cell>
          <cell r="H1554">
            <v>175505</v>
          </cell>
          <cell r="I1554">
            <v>0.15</v>
          </cell>
          <cell r="J1554">
            <v>206477</v>
          </cell>
          <cell r="K1554">
            <v>0.14</v>
          </cell>
          <cell r="L1554">
            <v>204076</v>
          </cell>
        </row>
        <row r="1555">
          <cell r="C1555">
            <v>8010040601</v>
          </cell>
          <cell r="D1555" t="str">
            <v>对接法兰套(PE配件)SDR17(1.0MPa)黑色 dn280</v>
          </cell>
          <cell r="E1555" t="str">
            <v>HDPE Butt-Fusion Stub Flange (1.0MPa) SDR17 dn280 Black</v>
          </cell>
          <cell r="F1555">
            <v>1</v>
          </cell>
          <cell r="G1555">
            <v>272238</v>
          </cell>
          <cell r="H1555">
            <v>245260</v>
          </cell>
          <cell r="I1555">
            <v>0.15</v>
          </cell>
          <cell r="J1555">
            <v>288542</v>
          </cell>
          <cell r="K1555">
            <v>0.14</v>
          </cell>
          <cell r="L1555">
            <v>285187</v>
          </cell>
        </row>
        <row r="1556">
          <cell r="C1556">
            <v>8010040603</v>
          </cell>
          <cell r="D1556" t="str">
            <v>对接法兰套(PE配件)SDR17(1.0MPa)黑色 dn75</v>
          </cell>
          <cell r="E1556" t="str">
            <v>HDPE Butt-Fusion Stub Flange (1.0MPa) SDR17 dn75 Black</v>
          </cell>
          <cell r="F1556">
            <v>1</v>
          </cell>
          <cell r="G1556">
            <v>35875</v>
          </cell>
          <cell r="H1556">
            <v>32320</v>
          </cell>
          <cell r="I1556">
            <v>0.15</v>
          </cell>
          <cell r="J1556">
            <v>38024</v>
          </cell>
          <cell r="K1556">
            <v>0.14</v>
          </cell>
          <cell r="L1556">
            <v>37582</v>
          </cell>
        </row>
        <row r="1557">
          <cell r="C1557">
            <v>8010040657</v>
          </cell>
          <cell r="D1557" t="str">
            <v>对接法兰套(PE配件)SDR17(1.0MPa)黑色 dn500</v>
          </cell>
          <cell r="E1557" t="str">
            <v>HDPE Butt-Fusion Stub Flange (1.0MPa) SDR17 dn500 Black</v>
          </cell>
          <cell r="F1557">
            <v>1</v>
          </cell>
          <cell r="G1557">
            <v>1403025</v>
          </cell>
          <cell r="H1557">
            <v>1263987</v>
          </cell>
          <cell r="I1557">
            <v>0.15</v>
          </cell>
          <cell r="J1557">
            <v>1487044</v>
          </cell>
          <cell r="K1557">
            <v>0.14</v>
          </cell>
          <cell r="L1557">
            <v>1469753</v>
          </cell>
        </row>
        <row r="1558">
          <cell r="C1558">
            <v>8010040658</v>
          </cell>
          <cell r="D1558" t="str">
            <v>对接法兰套(PE配件)SDR17(1.0MPa)黑色 dn560</v>
          </cell>
          <cell r="E1558" t="str">
            <v>HDPE Butt-Fusion Stub Flange (1.0MPa) SDR17 dn560 Black</v>
          </cell>
          <cell r="F1558">
            <v>1</v>
          </cell>
          <cell r="G1558">
            <v>1870239</v>
          </cell>
          <cell r="H1558">
            <v>1684900</v>
          </cell>
          <cell r="I1558">
            <v>0.15</v>
          </cell>
          <cell r="J1558">
            <v>1982236</v>
          </cell>
          <cell r="K1558">
            <v>0.14</v>
          </cell>
          <cell r="L1558">
            <v>1959187</v>
          </cell>
        </row>
        <row r="1559">
          <cell r="C1559">
            <v>8010040656</v>
          </cell>
          <cell r="D1559" t="str">
            <v>对接法兰套(PE配件)SDR17(1.0MPa)黑色 dn450</v>
          </cell>
          <cell r="E1559" t="str">
            <v>HDPE Butt-Fusion Stub Flange (1.0MPa) SDR17 dn450 Black</v>
          </cell>
          <cell r="F1559">
            <v>1</v>
          </cell>
          <cell r="G1559">
            <v>899564</v>
          </cell>
          <cell r="H1559">
            <v>810419</v>
          </cell>
          <cell r="I1559">
            <v>0.15</v>
          </cell>
          <cell r="J1559">
            <v>953435</v>
          </cell>
          <cell r="K1559">
            <v>0.14</v>
          </cell>
          <cell r="L1559">
            <v>942348</v>
          </cell>
        </row>
        <row r="1560">
          <cell r="C1560">
            <v>8010040655</v>
          </cell>
          <cell r="D1560" t="str">
            <v>对接法兰套(PE配件)SDR17(1.0MPa)黑色 dn400</v>
          </cell>
          <cell r="E1560" t="str">
            <v>HDPE Butt-Fusion Stub Flange (1.0MPa) SDR17 dn400 Black</v>
          </cell>
          <cell r="F1560">
            <v>1</v>
          </cell>
          <cell r="G1560">
            <v>574128</v>
          </cell>
          <cell r="H1560">
            <v>517233</v>
          </cell>
          <cell r="I1560">
            <v>0.15</v>
          </cell>
          <cell r="J1560">
            <v>608510</v>
          </cell>
          <cell r="K1560">
            <v>0.14</v>
          </cell>
          <cell r="L1560">
            <v>601434</v>
          </cell>
        </row>
        <row r="1561">
          <cell r="C1561">
            <v>8010040654</v>
          </cell>
          <cell r="D1561" t="str">
            <v>对接法兰套(PE配件)SDR17(1.0MPa)黑色 dn355</v>
          </cell>
          <cell r="E1561" t="str">
            <v>HDPE Butt-Fusion Stub Flange (1.0MPa) SDR17 dn355 Black</v>
          </cell>
          <cell r="F1561">
            <v>1</v>
          </cell>
          <cell r="G1561">
            <v>584725</v>
          </cell>
          <cell r="H1561">
            <v>526780</v>
          </cell>
          <cell r="I1561">
            <v>0.15</v>
          </cell>
          <cell r="J1561">
            <v>619742</v>
          </cell>
          <cell r="K1561">
            <v>0.14</v>
          </cell>
          <cell r="L1561">
            <v>612535</v>
          </cell>
        </row>
        <row r="1562">
          <cell r="C1562">
            <v>8010040653</v>
          </cell>
          <cell r="D1562" t="str">
            <v>对接法兰套(PE配件)SDR17(1.0MPa)黑色 dn315</v>
          </cell>
          <cell r="E1562" t="str">
            <v>HDPE Butt-Fusion Stub Flange (1.0MPa) SDR17 dn315 Black</v>
          </cell>
          <cell r="F1562">
            <v>1</v>
          </cell>
          <cell r="G1562">
            <v>350069</v>
          </cell>
          <cell r="H1562">
            <v>315378</v>
          </cell>
          <cell r="I1562">
            <v>0.15</v>
          </cell>
          <cell r="J1562">
            <v>371033</v>
          </cell>
          <cell r="K1562">
            <v>0.14</v>
          </cell>
          <cell r="L1562">
            <v>366719</v>
          </cell>
        </row>
        <row r="1563">
          <cell r="C1563">
            <v>8010041626</v>
          </cell>
          <cell r="D1563" t="str">
            <v>对接法兰套(PE配件)SDR11(1.6MPa)黑色 dn560</v>
          </cell>
          <cell r="E1563" t="str">
            <v>HDPE Butt-Fusion Stub Flange (1.6MPa) SDR11 dn560 Black</v>
          </cell>
          <cell r="F1563">
            <v>1</v>
          </cell>
          <cell r="G1563">
            <v>2447154</v>
          </cell>
          <cell r="H1563">
            <v>2204644</v>
          </cell>
          <cell r="I1563">
            <v>0.15</v>
          </cell>
          <cell r="J1563">
            <v>2593699</v>
          </cell>
          <cell r="K1563">
            <v>0.14</v>
          </cell>
          <cell r="L1563">
            <v>2563540</v>
          </cell>
        </row>
        <row r="1564">
          <cell r="C1564">
            <v>8010043479</v>
          </cell>
          <cell r="D1564" t="str">
            <v>对接法兰套(PE配件)SDR11(1.6MPa)黑色 dn140</v>
          </cell>
          <cell r="E1564" t="str">
            <v>HDPE Butt-Fusion Stub Flange (1.6MPa) SDR11 dn140 Black</v>
          </cell>
          <cell r="F1564">
            <v>1</v>
          </cell>
          <cell r="G1564">
            <v>72783</v>
          </cell>
          <cell r="H1564">
            <v>65571</v>
          </cell>
          <cell r="I1564">
            <v>0.15</v>
          </cell>
          <cell r="J1564">
            <v>77143</v>
          </cell>
          <cell r="K1564">
            <v>0.14</v>
          </cell>
          <cell r="L1564">
            <v>76246</v>
          </cell>
        </row>
        <row r="1565">
          <cell r="C1565">
            <v>8010042202</v>
          </cell>
          <cell r="D1565" t="str">
            <v>对接法兰套(PE配件)SDR11(1.6MPa)黑色 dn630</v>
          </cell>
          <cell r="E1565" t="str">
            <v>HDPE Butt-Fusion Stub Flange (1.6MPa) SDR11 dn630 Black</v>
          </cell>
          <cell r="F1565">
            <v>1</v>
          </cell>
          <cell r="G1565">
            <v>1731830</v>
          </cell>
          <cell r="H1565">
            <v>1560208</v>
          </cell>
          <cell r="I1565">
            <v>0.15</v>
          </cell>
          <cell r="J1565">
            <v>1835539</v>
          </cell>
          <cell r="K1565">
            <v>0.14</v>
          </cell>
          <cell r="L1565">
            <v>1814196</v>
          </cell>
        </row>
        <row r="1566">
          <cell r="C1566">
            <v>8010042967</v>
          </cell>
          <cell r="D1566" t="str">
            <v>对接法兰套(PE配件)SDR11(1.6MPa)黑色 dn450</v>
          </cell>
          <cell r="E1566" t="str">
            <v>HDPE Butt-Fusion Stub Flange (1.6MPa) SDR11 dn450 Black</v>
          </cell>
          <cell r="F1566">
            <v>1</v>
          </cell>
          <cell r="G1566">
            <v>1147065</v>
          </cell>
          <cell r="H1566">
            <v>1033392</v>
          </cell>
          <cell r="I1566">
            <v>0.15</v>
          </cell>
          <cell r="J1566">
            <v>1215756</v>
          </cell>
          <cell r="K1566">
            <v>0.14</v>
          </cell>
          <cell r="L1566">
            <v>1201619</v>
          </cell>
        </row>
        <row r="1567">
          <cell r="C1567">
            <v>8010040571</v>
          </cell>
          <cell r="D1567" t="str">
            <v>对接法兰套(PE配件)SDR11(1.6MPa)黑色 dn110</v>
          </cell>
          <cell r="E1567" t="str">
            <v>HDPE Butt-Fusion Stub Flange (1.6MPa) SDR11 dn110 Black</v>
          </cell>
          <cell r="F1567">
            <v>1</v>
          </cell>
          <cell r="G1567">
            <v>59196</v>
          </cell>
          <cell r="H1567">
            <v>53330</v>
          </cell>
          <cell r="I1567">
            <v>0.15</v>
          </cell>
          <cell r="J1567">
            <v>62742</v>
          </cell>
          <cell r="K1567">
            <v>0.14</v>
          </cell>
          <cell r="L1567">
            <v>62012</v>
          </cell>
        </row>
        <row r="1568">
          <cell r="C1568">
            <v>8010040572</v>
          </cell>
          <cell r="D1568" t="str">
            <v>对接法兰套(PE配件)SDR11(1.6MPa)黑色 dn125</v>
          </cell>
          <cell r="E1568" t="str">
            <v>HDPE Butt-Fusion Stub Flange (1.6MPa) SDR11 dn125 Black</v>
          </cell>
          <cell r="F1568">
            <v>1</v>
          </cell>
          <cell r="G1568">
            <v>71632</v>
          </cell>
          <cell r="H1568">
            <v>64534</v>
          </cell>
          <cell r="I1568">
            <v>0.15</v>
          </cell>
          <cell r="J1568">
            <v>75923</v>
          </cell>
          <cell r="K1568">
            <v>0.14</v>
          </cell>
          <cell r="L1568">
            <v>75040</v>
          </cell>
        </row>
        <row r="1569">
          <cell r="C1569">
            <v>8010040573</v>
          </cell>
          <cell r="D1569" t="str">
            <v>对接法兰套(PE配件)SDR11(1.6MPa)黑色 dn160</v>
          </cell>
          <cell r="E1569" t="str">
            <v>HDPE Butt-Fusion Stub Flange (1.6MPa) SDR11 dn160 Black</v>
          </cell>
          <cell r="F1569">
            <v>1</v>
          </cell>
          <cell r="G1569">
            <v>112354</v>
          </cell>
          <cell r="H1569">
            <v>101220</v>
          </cell>
          <cell r="I1569">
            <v>0.15</v>
          </cell>
          <cell r="J1569">
            <v>119083</v>
          </cell>
          <cell r="K1569">
            <v>0.14</v>
          </cell>
          <cell r="L1569">
            <v>117698</v>
          </cell>
        </row>
        <row r="1570">
          <cell r="C1570">
            <v>8010040574</v>
          </cell>
          <cell r="D1570" t="str">
            <v>对接法兰套(PE配件)SDR11(1.6MPa)黑色 dn180</v>
          </cell>
          <cell r="E1570" t="str">
            <v>HDPE Butt-Fusion Stub Flange (1.6MPa) SDR11 dn180 Black</v>
          </cell>
          <cell r="F1570">
            <v>1</v>
          </cell>
          <cell r="G1570">
            <v>140751</v>
          </cell>
          <cell r="H1570">
            <v>126803</v>
          </cell>
          <cell r="I1570">
            <v>0.15</v>
          </cell>
          <cell r="J1570">
            <v>149180</v>
          </cell>
          <cell r="K1570">
            <v>0.14</v>
          </cell>
          <cell r="L1570">
            <v>147446</v>
          </cell>
        </row>
        <row r="1571">
          <cell r="C1571">
            <v>8010040575</v>
          </cell>
          <cell r="D1571" t="str">
            <v>对接法兰套(PE配件)SDR11(1.6MPa)黑色 dn200</v>
          </cell>
          <cell r="E1571" t="str">
            <v>HDPE Butt-Fusion Stub Flange (1.6MPa) SDR11 dn200 Black</v>
          </cell>
          <cell r="F1571">
            <v>1</v>
          </cell>
          <cell r="G1571">
            <v>187847</v>
          </cell>
          <cell r="H1571">
            <v>169232</v>
          </cell>
          <cell r="I1571">
            <v>0.15</v>
          </cell>
          <cell r="J1571">
            <v>199097</v>
          </cell>
          <cell r="K1571">
            <v>0.14</v>
          </cell>
          <cell r="L1571">
            <v>196782</v>
          </cell>
        </row>
        <row r="1572">
          <cell r="C1572">
            <v>8010040576</v>
          </cell>
          <cell r="D1572" t="str">
            <v>对接法兰套(PE配件)SDR11(1.6MPa)黑色 dn225</v>
          </cell>
          <cell r="E1572" t="str">
            <v>HDPE Butt-Fusion Stub Flange (1.6MPa) SDR11 dn225 Black</v>
          </cell>
          <cell r="F1572">
            <v>1</v>
          </cell>
          <cell r="G1572">
            <v>211142</v>
          </cell>
          <cell r="H1572">
            <v>190219</v>
          </cell>
          <cell r="I1572">
            <v>0.15</v>
          </cell>
          <cell r="J1572">
            <v>223788</v>
          </cell>
          <cell r="K1572">
            <v>0.14</v>
          </cell>
          <cell r="L1572">
            <v>221185</v>
          </cell>
        </row>
        <row r="1573">
          <cell r="C1573">
            <v>8010040577</v>
          </cell>
          <cell r="D1573" t="str">
            <v>对接法兰套(PE配件)SDR11(1.6MPa)黑色 dn250</v>
          </cell>
          <cell r="E1573" t="str">
            <v>HDPE Butt-Fusion Stub Flange (1.6MPa) SDR11 dn250 Black</v>
          </cell>
          <cell r="F1573">
            <v>1</v>
          </cell>
          <cell r="G1573">
            <v>212919</v>
          </cell>
          <cell r="H1573">
            <v>191819</v>
          </cell>
          <cell r="I1573">
            <v>0.15</v>
          </cell>
          <cell r="J1573">
            <v>225670</v>
          </cell>
          <cell r="K1573">
            <v>0.14</v>
          </cell>
          <cell r="L1573">
            <v>223046</v>
          </cell>
        </row>
        <row r="1574">
          <cell r="C1574">
            <v>8010040578</v>
          </cell>
          <cell r="D1574" t="str">
            <v>对接法兰套(PE配件)SDR11(1.6MPa)黑色 dn280</v>
          </cell>
          <cell r="E1574" t="str">
            <v>HDPE Butt-Fusion Stub Flange (1.6MPa) SDR11 dn280 Black</v>
          </cell>
          <cell r="F1574">
            <v>1</v>
          </cell>
          <cell r="G1574">
            <v>2318394</v>
          </cell>
          <cell r="H1574">
            <v>2088644</v>
          </cell>
          <cell r="I1574">
            <v>0.15</v>
          </cell>
          <cell r="J1574">
            <v>2457229</v>
          </cell>
          <cell r="K1574">
            <v>0.14</v>
          </cell>
          <cell r="L1574">
            <v>2428656</v>
          </cell>
        </row>
        <row r="1575">
          <cell r="C1575">
            <v>8010040664</v>
          </cell>
          <cell r="D1575" t="str">
            <v>对接法兰套(PE配件)SDR11(1.6MPa)黑色 dn315</v>
          </cell>
          <cell r="E1575" t="str">
            <v>HDPE Butt-Fusion Stub Flange (1.6MPa) SDR11 dn315 Black</v>
          </cell>
          <cell r="F1575">
            <v>1</v>
          </cell>
          <cell r="G1575">
            <v>380171</v>
          </cell>
          <cell r="H1575">
            <v>342497</v>
          </cell>
          <cell r="I1575">
            <v>0.15</v>
          </cell>
          <cell r="J1575">
            <v>402938</v>
          </cell>
          <cell r="K1575">
            <v>0.14</v>
          </cell>
          <cell r="L1575">
            <v>398253</v>
          </cell>
        </row>
        <row r="1576">
          <cell r="C1576">
            <v>8010040665</v>
          </cell>
          <cell r="D1576" t="str">
            <v>对接法兰套(PE配件)SDR11(1.6MPa)黑色 dn355</v>
          </cell>
          <cell r="E1576" t="str">
            <v>HDPE Butt-Fusion Stub Flange (1.6MPa) SDR11 dn355 Black</v>
          </cell>
          <cell r="F1576">
            <v>1</v>
          </cell>
          <cell r="G1576">
            <v>448635</v>
          </cell>
          <cell r="H1576">
            <v>404176</v>
          </cell>
          <cell r="I1576">
            <v>0.15</v>
          </cell>
          <cell r="J1576">
            <v>475502</v>
          </cell>
          <cell r="K1576">
            <v>0.14</v>
          </cell>
          <cell r="L1576">
            <v>469973</v>
          </cell>
        </row>
        <row r="1577">
          <cell r="C1577">
            <v>8010040666</v>
          </cell>
          <cell r="D1577" t="str">
            <v>对接法兰套(PE配件)SDR11(1.6MPa)黑色 dn400</v>
          </cell>
          <cell r="E1577" t="str">
            <v>HDPE Butt-Fusion Stub Flange (1.6MPa) SDR11 dn400 Black</v>
          </cell>
          <cell r="F1577">
            <v>1</v>
          </cell>
          <cell r="G1577">
            <v>592118</v>
          </cell>
          <cell r="H1577">
            <v>533440</v>
          </cell>
          <cell r="I1577">
            <v>0.15</v>
          </cell>
          <cell r="J1577">
            <v>627577</v>
          </cell>
          <cell r="K1577">
            <v>0.14</v>
          </cell>
          <cell r="L1577">
            <v>620280</v>
          </cell>
        </row>
        <row r="1578">
          <cell r="C1578">
            <v>8010040667</v>
          </cell>
          <cell r="D1578" t="str">
            <v>对接法兰套(PE配件)SDR11(1.6MPa)黑色 dn500</v>
          </cell>
          <cell r="E1578" t="str">
            <v>HDPE Butt-Fusion Stub Flange (1.6MPa) SDR11 dn500 Black</v>
          </cell>
          <cell r="F1578">
            <v>1</v>
          </cell>
          <cell r="G1578">
            <v>1681963</v>
          </cell>
          <cell r="H1578">
            <v>1515282</v>
          </cell>
          <cell r="I1578">
            <v>0.15</v>
          </cell>
          <cell r="J1578">
            <v>1782685</v>
          </cell>
          <cell r="K1578">
            <v>0.14</v>
          </cell>
          <cell r="L1578">
            <v>1761956</v>
          </cell>
        </row>
        <row r="1579">
          <cell r="C1579">
            <v>8010040580</v>
          </cell>
          <cell r="D1579" t="str">
            <v>对接法兰套(PE配件)SDR11(1.6MPa)黑色 dn50</v>
          </cell>
          <cell r="E1579" t="str">
            <v>HDPE Butt-Fusion Stub Flange (1.6MPa) SDR11 dn50 Black</v>
          </cell>
          <cell r="F1579">
            <v>1</v>
          </cell>
          <cell r="G1579">
            <v>30281</v>
          </cell>
          <cell r="H1579">
            <v>27281</v>
          </cell>
          <cell r="I1579">
            <v>0.15</v>
          </cell>
          <cell r="J1579">
            <v>32096</v>
          </cell>
          <cell r="K1579">
            <v>0.14</v>
          </cell>
          <cell r="L1579">
            <v>31723</v>
          </cell>
        </row>
        <row r="1580">
          <cell r="C1580">
            <v>8010040581</v>
          </cell>
          <cell r="D1580" t="str">
            <v>对接法兰套(PE配件)SDR11(1.6MPa)黑色 dn63</v>
          </cell>
          <cell r="E1580" t="str">
            <v>HDPE Butt-Fusion Stub Flange (1.6MPa) SDR11 dn63 Black</v>
          </cell>
          <cell r="F1580">
            <v>1</v>
          </cell>
          <cell r="G1580">
            <v>20474</v>
          </cell>
          <cell r="H1580">
            <v>18446</v>
          </cell>
          <cell r="I1580">
            <v>0.15</v>
          </cell>
          <cell r="J1580">
            <v>21702</v>
          </cell>
          <cell r="K1580">
            <v>0.14</v>
          </cell>
          <cell r="L1580">
            <v>21449</v>
          </cell>
        </row>
        <row r="1581">
          <cell r="C1581">
            <v>8010040582</v>
          </cell>
          <cell r="D1581" t="str">
            <v>对接法兰套(PE配件)SDR11(1.6MPa)黑色 dn75</v>
          </cell>
          <cell r="E1581" t="str">
            <v>HDPE Butt-Fusion Stub Flange (1.6MPa) SDR11 dn75 Black</v>
          </cell>
          <cell r="F1581">
            <v>1</v>
          </cell>
          <cell r="G1581">
            <v>33657</v>
          </cell>
          <cell r="H1581">
            <v>30322</v>
          </cell>
          <cell r="I1581">
            <v>0.15</v>
          </cell>
          <cell r="J1581">
            <v>35673</v>
          </cell>
          <cell r="K1581">
            <v>0.14</v>
          </cell>
          <cell r="L1581">
            <v>35259</v>
          </cell>
        </row>
        <row r="1582">
          <cell r="C1582">
            <v>8010040583</v>
          </cell>
          <cell r="D1582" t="str">
            <v>对接法兰套(PE配件)SDR11(1.6MPa)黑色 dn90</v>
          </cell>
          <cell r="E1582" t="str">
            <v>HDPE Butt-Fusion Stub Flange (1.6MPa) SDR11 dn90 Black</v>
          </cell>
          <cell r="F1582">
            <v>1</v>
          </cell>
          <cell r="G1582">
            <v>38430</v>
          </cell>
          <cell r="H1582">
            <v>34622</v>
          </cell>
          <cell r="I1582">
            <v>0.15</v>
          </cell>
          <cell r="J1582">
            <v>40732</v>
          </cell>
          <cell r="K1582">
            <v>0.14</v>
          </cell>
          <cell r="L1582">
            <v>40259</v>
          </cell>
        </row>
        <row r="1583">
          <cell r="C1583">
            <v>8010044812</v>
          </cell>
          <cell r="D1583" t="str">
            <v>对接异径套(PE配件)SDR17(1.0MPa)黑色 dn400X225</v>
          </cell>
          <cell r="E1583" t="str">
            <v>HDPE Butt-Fusion Reducing Coupler (1.0MPa) SDR17 dn400x225 Black</v>
          </cell>
          <cell r="F1583">
            <v>1</v>
          </cell>
          <cell r="G1583">
            <v>875182</v>
          </cell>
          <cell r="H1583">
            <v>788453</v>
          </cell>
          <cell r="I1583">
            <v>0.15</v>
          </cell>
          <cell r="J1583">
            <v>927592</v>
          </cell>
          <cell r="K1583">
            <v>0.14</v>
          </cell>
          <cell r="L1583">
            <v>916806</v>
          </cell>
        </row>
        <row r="1584">
          <cell r="C1584">
            <v>8010044709</v>
          </cell>
          <cell r="D1584" t="str">
            <v>对接异径套(PE配件)SDR17(1.0MPa)黑色 dn315X180</v>
          </cell>
          <cell r="E1584" t="str">
            <v>HDPE Butt-Fusion Reducing Coupler (1.0MPa) SDR17 dn315x180 Black</v>
          </cell>
          <cell r="F1584">
            <v>1</v>
          </cell>
          <cell r="G1584">
            <v>500646</v>
          </cell>
          <cell r="H1584">
            <v>451033</v>
          </cell>
          <cell r="I1584">
            <v>0.15</v>
          </cell>
          <cell r="J1584">
            <v>530628</v>
          </cell>
          <cell r="K1584">
            <v>0.14</v>
          </cell>
          <cell r="L1584">
            <v>524457</v>
          </cell>
        </row>
        <row r="1585">
          <cell r="C1585">
            <v>8010044502</v>
          </cell>
          <cell r="D1585" t="str">
            <v>对接异径套(PE配件)SDR17(1.0MPa)黑色 dn125X63</v>
          </cell>
          <cell r="E1585" t="str">
            <v>HDPE Butt-Fusion Reducing Coupler (1.0MPa) SDR17 dn125x63 Black</v>
          </cell>
          <cell r="F1585">
            <v>1</v>
          </cell>
          <cell r="G1585">
            <v>57055</v>
          </cell>
          <cell r="H1585">
            <v>51401</v>
          </cell>
          <cell r="I1585">
            <v>0.15</v>
          </cell>
          <cell r="J1585">
            <v>60472</v>
          </cell>
          <cell r="K1585">
            <v>0.14</v>
          </cell>
          <cell r="L1585">
            <v>59769</v>
          </cell>
        </row>
        <row r="1586">
          <cell r="C1586">
            <v>8010041971</v>
          </cell>
          <cell r="D1586" t="str">
            <v>对接异径套(PE配件)SDR17(1.0MPa)黑色 dn560X450</v>
          </cell>
          <cell r="E1586" t="str">
            <v>HDPE Butt-Fusion Reducing Coupler (1.0MPa) SDR17 dn560x450 Black</v>
          </cell>
          <cell r="F1586">
            <v>1</v>
          </cell>
          <cell r="G1586">
            <v>1450035</v>
          </cell>
          <cell r="H1586">
            <v>1306338</v>
          </cell>
          <cell r="I1586">
            <v>0.15</v>
          </cell>
          <cell r="J1586">
            <v>1536869</v>
          </cell>
          <cell r="K1586">
            <v>0.14</v>
          </cell>
          <cell r="L1586">
            <v>1518998</v>
          </cell>
        </row>
        <row r="1587">
          <cell r="C1587">
            <v>8010040863</v>
          </cell>
          <cell r="D1587" t="str">
            <v>对接异径套(PE配件)SDR17(1.0MPa)黑色 dn110X75</v>
          </cell>
          <cell r="E1587" t="str">
            <v>HDPE Butt-Fusion Reducing Coupler (1.0MPa) SDR17 dn110x75 Black</v>
          </cell>
          <cell r="F1587">
            <v>1</v>
          </cell>
          <cell r="G1587">
            <v>51581</v>
          </cell>
          <cell r="H1587">
            <v>46470</v>
          </cell>
          <cell r="I1587">
            <v>0.15</v>
          </cell>
          <cell r="J1587">
            <v>54671</v>
          </cell>
          <cell r="K1587">
            <v>0.14</v>
          </cell>
          <cell r="L1587">
            <v>54035</v>
          </cell>
        </row>
        <row r="1588">
          <cell r="C1588">
            <v>8010040864</v>
          </cell>
          <cell r="D1588" t="str">
            <v>对接异径套(PE配件)SDR17(1.0MPa)黑色 dn110X90</v>
          </cell>
          <cell r="E1588" t="str">
            <v>HDPE Butt-Fusion Reducing Coupler (1.0MPa) SDR17 dn110x90 Black</v>
          </cell>
          <cell r="F1588">
            <v>1</v>
          </cell>
          <cell r="G1588">
            <v>55008</v>
          </cell>
          <cell r="H1588">
            <v>49557</v>
          </cell>
          <cell r="I1588">
            <v>0.15</v>
          </cell>
          <cell r="J1588">
            <v>58303</v>
          </cell>
          <cell r="K1588">
            <v>0.14</v>
          </cell>
          <cell r="L1588">
            <v>57625</v>
          </cell>
        </row>
        <row r="1589">
          <cell r="C1589">
            <v>8010040865</v>
          </cell>
          <cell r="D1589" t="str">
            <v>对接异径套(PE配件)SDR17(1.0MPa)黑色 dn125X90</v>
          </cell>
          <cell r="E1589" t="str">
            <v>HDPE Butt-Fusion Reducing Coupler (1.0MPa) SDR17 dn125x90 Black</v>
          </cell>
          <cell r="F1589">
            <v>1</v>
          </cell>
          <cell r="G1589">
            <v>57750</v>
          </cell>
          <cell r="H1589">
            <v>52028</v>
          </cell>
          <cell r="I1589">
            <v>0.15</v>
          </cell>
          <cell r="J1589">
            <v>61210</v>
          </cell>
          <cell r="K1589">
            <v>0.14</v>
          </cell>
          <cell r="L1589">
            <v>60498</v>
          </cell>
        </row>
        <row r="1590">
          <cell r="C1590">
            <v>8010040866</v>
          </cell>
          <cell r="D1590" t="str">
            <v>对接异径套(PE配件)SDR17(1.0MPa)黑色 dn160X110</v>
          </cell>
          <cell r="E1590" t="str">
            <v>HDPE Butt-Fusion Reducing Coupler (1.0MPa) SDR17 dn160x110 Black</v>
          </cell>
          <cell r="F1590">
            <v>1</v>
          </cell>
          <cell r="G1590">
            <v>104818</v>
          </cell>
          <cell r="H1590">
            <v>94431</v>
          </cell>
          <cell r="I1590">
            <v>0.15</v>
          </cell>
          <cell r="J1590">
            <v>111096</v>
          </cell>
          <cell r="K1590">
            <v>0.14</v>
          </cell>
          <cell r="L1590">
            <v>109804</v>
          </cell>
        </row>
        <row r="1591">
          <cell r="C1591">
            <v>8010040867</v>
          </cell>
          <cell r="D1591" t="str">
            <v>对接异径套(PE配件)SDR17(1.0MPa)黑色 dn160X125</v>
          </cell>
          <cell r="E1591" t="str">
            <v>HDPE Butt-Fusion Reducing Coupler (1.0MPa) SDR17 dn160x125 Black</v>
          </cell>
          <cell r="F1591">
            <v>1</v>
          </cell>
          <cell r="G1591">
            <v>99771</v>
          </cell>
          <cell r="H1591">
            <v>89884</v>
          </cell>
          <cell r="I1591">
            <v>0.15</v>
          </cell>
          <cell r="J1591">
            <v>105746</v>
          </cell>
          <cell r="K1591">
            <v>0.14</v>
          </cell>
          <cell r="L1591">
            <v>104517</v>
          </cell>
        </row>
        <row r="1592">
          <cell r="C1592">
            <v>8010040868</v>
          </cell>
          <cell r="D1592" t="str">
            <v>对接异径套(PE配件)SDR17(1.0MPa)黑色 dn160X90</v>
          </cell>
          <cell r="E1592" t="str">
            <v>HDPE Butt-Fusion Reducing Coupler (1.0MPa) SDR17 dn160x90 Black</v>
          </cell>
          <cell r="F1592">
            <v>1</v>
          </cell>
          <cell r="G1592">
            <v>100216</v>
          </cell>
          <cell r="H1592">
            <v>90285</v>
          </cell>
          <cell r="I1592">
            <v>0.15</v>
          </cell>
          <cell r="J1592">
            <v>106218</v>
          </cell>
          <cell r="K1592">
            <v>0.14</v>
          </cell>
          <cell r="L1592">
            <v>104983</v>
          </cell>
        </row>
        <row r="1593">
          <cell r="C1593">
            <v>8010040869</v>
          </cell>
          <cell r="D1593" t="str">
            <v>对接异径套(PE配件)SDR17(1.0MPa)黑色 dn180X160</v>
          </cell>
          <cell r="E1593" t="str">
            <v>HDPE Butt-Fusion Reducing Coupler (1.0MPa) SDR17 dn180x160 Black</v>
          </cell>
          <cell r="F1593">
            <v>1</v>
          </cell>
          <cell r="G1593">
            <v>126091</v>
          </cell>
          <cell r="H1593">
            <v>113596</v>
          </cell>
          <cell r="I1593">
            <v>0.15</v>
          </cell>
          <cell r="J1593">
            <v>133643</v>
          </cell>
          <cell r="K1593">
            <v>0.14</v>
          </cell>
          <cell r="L1593">
            <v>132089</v>
          </cell>
        </row>
        <row r="1594">
          <cell r="C1594">
            <v>8010040870</v>
          </cell>
          <cell r="D1594" t="str">
            <v>对接异径套(PE配件)SDR17(1.0MPa)黑色 dn200X110</v>
          </cell>
          <cell r="E1594" t="str">
            <v>HDPE Butt-Fusion Reducing Coupler (1.0MPa) SDR17 dn200x110 Black</v>
          </cell>
          <cell r="F1594">
            <v>1</v>
          </cell>
          <cell r="G1594">
            <v>161055</v>
          </cell>
          <cell r="H1594">
            <v>145095</v>
          </cell>
          <cell r="I1594">
            <v>0.15</v>
          </cell>
          <cell r="J1594">
            <v>170700</v>
          </cell>
          <cell r="K1594">
            <v>0.14</v>
          </cell>
          <cell r="L1594">
            <v>168716</v>
          </cell>
        </row>
        <row r="1595">
          <cell r="C1595">
            <v>8010040897</v>
          </cell>
          <cell r="D1595" t="str">
            <v>对接异径套(PE配件)SDR17(1.0MPa)黑色 dn500X355</v>
          </cell>
          <cell r="E1595" t="str">
            <v>HDPE Butt-Fusion Reducing Coupler (1.0MPa) SDR17 dn500x355 Black</v>
          </cell>
          <cell r="F1595">
            <v>1</v>
          </cell>
          <cell r="G1595">
            <v>1312978</v>
          </cell>
          <cell r="H1595">
            <v>1182864</v>
          </cell>
          <cell r="I1595">
            <v>0.15</v>
          </cell>
          <cell r="J1595">
            <v>1391605</v>
          </cell>
          <cell r="K1595">
            <v>0.14</v>
          </cell>
          <cell r="L1595">
            <v>1375424</v>
          </cell>
        </row>
        <row r="1596">
          <cell r="C1596">
            <v>8010040898</v>
          </cell>
          <cell r="D1596" t="str">
            <v>对接异径套(PE配件)SDR17(1.0MPa)黑色 dn500X400</v>
          </cell>
          <cell r="E1596" t="str">
            <v>HDPE Butt-Fusion Reducing Coupler (1.0MPa) SDR17 dn500x400 Black</v>
          </cell>
          <cell r="F1596">
            <v>1</v>
          </cell>
          <cell r="G1596">
            <v>1390523</v>
          </cell>
          <cell r="H1596">
            <v>1252724</v>
          </cell>
          <cell r="I1596">
            <v>0.15</v>
          </cell>
          <cell r="J1596">
            <v>1473793</v>
          </cell>
          <cell r="K1596">
            <v>0.14</v>
          </cell>
          <cell r="L1596">
            <v>1456656</v>
          </cell>
        </row>
        <row r="1597">
          <cell r="C1597">
            <v>8010040899</v>
          </cell>
          <cell r="D1597" t="str">
            <v>对接异径套(PE配件)SDR17(1.0MPa)黑色 dn560X400</v>
          </cell>
          <cell r="E1597" t="str">
            <v>HDPE Butt-Fusion Reducing Coupler (1.0MPa) SDR17 dn560x400 Black</v>
          </cell>
          <cell r="F1597">
            <v>1</v>
          </cell>
          <cell r="G1597">
            <v>1406358</v>
          </cell>
          <cell r="H1597">
            <v>1266990</v>
          </cell>
          <cell r="I1597">
            <v>0.15</v>
          </cell>
          <cell r="J1597">
            <v>1490577</v>
          </cell>
          <cell r="K1597">
            <v>0.14</v>
          </cell>
          <cell r="L1597">
            <v>1473245</v>
          </cell>
        </row>
        <row r="1598">
          <cell r="C1598">
            <v>8010040896</v>
          </cell>
          <cell r="D1598" t="str">
            <v>对接异径套(PE配件)SDR17(1.0MPa)黑色 dn500X315</v>
          </cell>
          <cell r="E1598" t="str">
            <v>HDPE Butt-Fusion Reducing Coupler (1.0MPa) SDR17 dn500x315 Black</v>
          </cell>
          <cell r="F1598">
            <v>1</v>
          </cell>
          <cell r="G1598">
            <v>1314784</v>
          </cell>
          <cell r="H1598">
            <v>1184491</v>
          </cell>
          <cell r="I1598">
            <v>0.15</v>
          </cell>
          <cell r="J1598">
            <v>1393519</v>
          </cell>
          <cell r="K1598">
            <v>0.14</v>
          </cell>
          <cell r="L1598">
            <v>1377316</v>
          </cell>
        </row>
        <row r="1599">
          <cell r="C1599">
            <v>8010040871</v>
          </cell>
          <cell r="D1599" t="str">
            <v>对接异径套(PE配件)SDR17(1.0MPa)黑色 dn200X160</v>
          </cell>
          <cell r="E1599" t="str">
            <v>HDPE Butt-Fusion Reducing Coupler (1.0MPa) SDR17 dn200x160 Black</v>
          </cell>
          <cell r="F1599">
            <v>1</v>
          </cell>
          <cell r="G1599">
            <v>169653</v>
          </cell>
          <cell r="H1599">
            <v>152841</v>
          </cell>
          <cell r="I1599">
            <v>0.15</v>
          </cell>
          <cell r="J1599">
            <v>179813</v>
          </cell>
          <cell r="K1599">
            <v>0.14</v>
          </cell>
          <cell r="L1599">
            <v>177723</v>
          </cell>
        </row>
        <row r="1600">
          <cell r="C1600">
            <v>8010040872</v>
          </cell>
          <cell r="D1600" t="str">
            <v>对接异径套(PE配件)SDR17(1.0MPa)黑色 dn225X160</v>
          </cell>
          <cell r="E1600" t="str">
            <v>HDPE Butt-Fusion Reducing Coupler (1.0MPa) SDR17 dn225x160 Black</v>
          </cell>
          <cell r="F1600">
            <v>1</v>
          </cell>
          <cell r="G1600">
            <v>210428</v>
          </cell>
          <cell r="H1600">
            <v>189575</v>
          </cell>
          <cell r="I1600">
            <v>0.15</v>
          </cell>
          <cell r="J1600">
            <v>223030</v>
          </cell>
          <cell r="K1600">
            <v>0.14</v>
          </cell>
          <cell r="L1600">
            <v>220437</v>
          </cell>
        </row>
        <row r="1601">
          <cell r="C1601">
            <v>8010040873</v>
          </cell>
          <cell r="D1601" t="str">
            <v>对接异径套(PE配件)SDR17(1.0MPa)黑色 dn250X110</v>
          </cell>
          <cell r="E1601" t="str">
            <v>HDPE Butt-Fusion Reducing Coupler (1.0MPa) SDR17 dn250x110 Black</v>
          </cell>
          <cell r="F1601">
            <v>1</v>
          </cell>
          <cell r="G1601">
            <v>202373</v>
          </cell>
          <cell r="H1601">
            <v>182319</v>
          </cell>
          <cell r="I1601">
            <v>0.15</v>
          </cell>
          <cell r="J1601">
            <v>214493</v>
          </cell>
          <cell r="K1601">
            <v>0.14</v>
          </cell>
          <cell r="L1601">
            <v>211999</v>
          </cell>
        </row>
        <row r="1602">
          <cell r="C1602">
            <v>8010040874</v>
          </cell>
          <cell r="D1602" t="str">
            <v>对接异径套(PE配件)SDR17(1.0MPa)黑色 dn250X160</v>
          </cell>
          <cell r="E1602" t="str">
            <v>HDPE Butt-Fusion Reducing Coupler (1.0MPa) SDR17 dn250x160 Black</v>
          </cell>
          <cell r="F1602">
            <v>1</v>
          </cell>
          <cell r="G1602">
            <v>292505</v>
          </cell>
          <cell r="H1602">
            <v>263519</v>
          </cell>
          <cell r="I1602">
            <v>0.15</v>
          </cell>
          <cell r="J1602">
            <v>310023</v>
          </cell>
          <cell r="K1602">
            <v>0.14</v>
          </cell>
          <cell r="L1602">
            <v>306418</v>
          </cell>
        </row>
        <row r="1603">
          <cell r="C1603">
            <v>8010040875</v>
          </cell>
          <cell r="D1603" t="str">
            <v>对接异径套(PE配件)SDR17(1.0MPa)黑色 dn250X200</v>
          </cell>
          <cell r="E1603" t="str">
            <v>HDPE Butt-Fusion Reducing Coupler (1.0MPa) SDR17 dn250x200 Black</v>
          </cell>
          <cell r="F1603">
            <v>1</v>
          </cell>
          <cell r="G1603">
            <v>278459</v>
          </cell>
          <cell r="H1603">
            <v>250864</v>
          </cell>
          <cell r="I1603">
            <v>0.15</v>
          </cell>
          <cell r="J1603">
            <v>295135</v>
          </cell>
          <cell r="K1603">
            <v>0.14</v>
          </cell>
          <cell r="L1603">
            <v>291703</v>
          </cell>
        </row>
        <row r="1604">
          <cell r="C1604">
            <v>8010040876</v>
          </cell>
          <cell r="D1604" t="str">
            <v>对接异径套(PE配件)SDR17(1.0MPa)黑色 dn250X225</v>
          </cell>
          <cell r="E1604" t="str">
            <v>HDPE Butt-Fusion Reducing Coupler (1.0MPa) SDR17 dn250x225 Black</v>
          </cell>
          <cell r="F1604">
            <v>1</v>
          </cell>
          <cell r="G1604">
            <v>262126</v>
          </cell>
          <cell r="H1604">
            <v>236150</v>
          </cell>
          <cell r="I1604">
            <v>0.15</v>
          </cell>
          <cell r="J1604">
            <v>277824</v>
          </cell>
          <cell r="K1604">
            <v>0.14</v>
          </cell>
          <cell r="L1604">
            <v>274594</v>
          </cell>
        </row>
        <row r="1605">
          <cell r="C1605">
            <v>8010040877</v>
          </cell>
          <cell r="D1605" t="str">
            <v>对接异径套(PE配件)SDR17(1.0MPa)黑色 dn280X160</v>
          </cell>
          <cell r="E1605" t="str">
            <v>HDPE Butt-Fusion Reducing Coupler (1.0MPa) SDR17 dn280x160 Black</v>
          </cell>
          <cell r="F1605">
            <v>1</v>
          </cell>
          <cell r="G1605">
            <v>275281</v>
          </cell>
          <cell r="H1605">
            <v>248001</v>
          </cell>
          <cell r="I1605">
            <v>0.15</v>
          </cell>
          <cell r="J1605">
            <v>291766</v>
          </cell>
          <cell r="K1605">
            <v>0.14</v>
          </cell>
          <cell r="L1605">
            <v>288374</v>
          </cell>
        </row>
        <row r="1606">
          <cell r="C1606">
            <v>8010040878</v>
          </cell>
          <cell r="D1606" t="str">
            <v>对接异径套(PE配件)SDR17(1.0MPa)黑色 dn315X110</v>
          </cell>
          <cell r="E1606" t="str">
            <v>HDPE Butt-Fusion Reducing Coupler (1.0MPa) SDR17 dn315x110 Black</v>
          </cell>
          <cell r="F1606">
            <v>1</v>
          </cell>
          <cell r="G1606">
            <v>282411</v>
          </cell>
          <cell r="H1606">
            <v>254425</v>
          </cell>
          <cell r="I1606">
            <v>0.15</v>
          </cell>
          <cell r="J1606">
            <v>299324</v>
          </cell>
          <cell r="K1606">
            <v>0.14</v>
          </cell>
          <cell r="L1606">
            <v>295844</v>
          </cell>
        </row>
        <row r="1607">
          <cell r="C1607">
            <v>8010040879</v>
          </cell>
          <cell r="D1607" t="str">
            <v>对接异径套(PE配件)SDR17(1.0MPa)黑色 dn315X160</v>
          </cell>
          <cell r="E1607" t="str">
            <v>HDPE Butt-Fusion Reducing Coupler (1.0MPa) SDR17 dn315x160 Black</v>
          </cell>
          <cell r="F1607">
            <v>1</v>
          </cell>
          <cell r="G1607">
            <v>328082</v>
          </cell>
          <cell r="H1607">
            <v>295570</v>
          </cell>
          <cell r="I1607">
            <v>0.15</v>
          </cell>
          <cell r="J1607">
            <v>347730</v>
          </cell>
          <cell r="K1607">
            <v>0.14</v>
          </cell>
          <cell r="L1607">
            <v>343687</v>
          </cell>
        </row>
        <row r="1608">
          <cell r="C1608">
            <v>8010040880</v>
          </cell>
          <cell r="D1608" t="str">
            <v>对接异径套(PE配件)SDR17(1.0MPa)黑色 dn315X200</v>
          </cell>
          <cell r="E1608" t="str">
            <v>HDPE Butt-Fusion Reducing Coupler (1.0MPa) SDR17 dn316x200 Black</v>
          </cell>
          <cell r="F1608">
            <v>1</v>
          </cell>
          <cell r="G1608">
            <v>435695</v>
          </cell>
          <cell r="H1608">
            <v>392519</v>
          </cell>
          <cell r="I1608">
            <v>0.15</v>
          </cell>
          <cell r="J1608">
            <v>461788</v>
          </cell>
          <cell r="K1608">
            <v>0.14</v>
          </cell>
          <cell r="L1608">
            <v>456418</v>
          </cell>
        </row>
        <row r="1609">
          <cell r="C1609">
            <v>8010040881</v>
          </cell>
          <cell r="D1609" t="str">
            <v>对接异径套(PE配件)SDR17(1.0MPa)黑色 dn315X225</v>
          </cell>
          <cell r="E1609" t="str">
            <v>HDPE Butt-Fusion Reducing Coupler (1.0MPa) SDR17 dn316x225 Black</v>
          </cell>
          <cell r="F1609">
            <v>1</v>
          </cell>
          <cell r="G1609">
            <v>354019</v>
          </cell>
          <cell r="H1609">
            <v>318937</v>
          </cell>
          <cell r="I1609">
            <v>0.15</v>
          </cell>
          <cell r="J1609">
            <v>375220</v>
          </cell>
          <cell r="K1609">
            <v>0.14</v>
          </cell>
          <cell r="L1609">
            <v>370857</v>
          </cell>
        </row>
        <row r="1610">
          <cell r="C1610">
            <v>8010040882</v>
          </cell>
          <cell r="D1610" t="str">
            <v>对接异径套(PE配件)SDR17(1.0MPa)黑色 dn315X250</v>
          </cell>
          <cell r="E1610" t="str">
            <v>HDPE Butt-Fusion Reducing Coupler (1.0MPa) SDR17 dn315x250 Black</v>
          </cell>
          <cell r="F1610">
            <v>1</v>
          </cell>
          <cell r="G1610">
            <v>423047</v>
          </cell>
          <cell r="H1610">
            <v>381124</v>
          </cell>
          <cell r="I1610">
            <v>0.15</v>
          </cell>
          <cell r="J1610">
            <v>448382</v>
          </cell>
          <cell r="K1610">
            <v>0.14</v>
          </cell>
          <cell r="L1610">
            <v>443168</v>
          </cell>
        </row>
        <row r="1611">
          <cell r="C1611">
            <v>8010040883</v>
          </cell>
          <cell r="D1611" t="str">
            <v>对接异径套(PE配件)SDR17(1.0MPa)黑色 dn315X280</v>
          </cell>
          <cell r="E1611" t="str">
            <v>HDPE Butt-Fusion Reducing Coupler (1.0MPa) SDR17 dn315x280 Black</v>
          </cell>
          <cell r="F1611">
            <v>1</v>
          </cell>
          <cell r="G1611">
            <v>350575</v>
          </cell>
          <cell r="H1611">
            <v>315834</v>
          </cell>
          <cell r="I1611">
            <v>0.15</v>
          </cell>
          <cell r="J1611">
            <v>371570</v>
          </cell>
          <cell r="K1611">
            <v>0.14</v>
          </cell>
          <cell r="L1611">
            <v>367249</v>
          </cell>
        </row>
        <row r="1612">
          <cell r="C1612">
            <v>8010040884</v>
          </cell>
          <cell r="D1612" t="str">
            <v>对接异径套(PE配件)SDR17(1.0MPa)黑色 dn355X200</v>
          </cell>
          <cell r="E1612" t="str">
            <v>HDPE Butt-Fusion Reducing Coupler (1.0MPa) SDR17 dn355x200 Black</v>
          </cell>
          <cell r="F1612">
            <v>1</v>
          </cell>
          <cell r="G1612">
            <v>505790</v>
          </cell>
          <cell r="H1612">
            <v>455667</v>
          </cell>
          <cell r="I1612">
            <v>0.15</v>
          </cell>
          <cell r="J1612">
            <v>536079</v>
          </cell>
          <cell r="K1612">
            <v>0.14</v>
          </cell>
          <cell r="L1612">
            <v>529846</v>
          </cell>
        </row>
        <row r="1613">
          <cell r="C1613">
            <v>8010040885</v>
          </cell>
          <cell r="D1613" t="str">
            <v>对接异径套(PE配件)SDR17(1.0MPa)黑色 dn355X250</v>
          </cell>
          <cell r="E1613" t="str">
            <v>HDPE Butt-Fusion Reducing Coupler (1.0MPa) SDR17 dn355x250 Black</v>
          </cell>
          <cell r="F1613">
            <v>1</v>
          </cell>
          <cell r="G1613">
            <v>494335</v>
          </cell>
          <cell r="H1613">
            <v>445347</v>
          </cell>
          <cell r="I1613">
            <v>0.15</v>
          </cell>
          <cell r="J1613">
            <v>523938</v>
          </cell>
          <cell r="K1613">
            <v>0.14</v>
          </cell>
          <cell r="L1613">
            <v>517846</v>
          </cell>
        </row>
        <row r="1614">
          <cell r="C1614">
            <v>8010040886</v>
          </cell>
          <cell r="D1614" t="str">
            <v>对接异径套(PE配件)SDR17(1.0MPa)黑色 dn355X315</v>
          </cell>
          <cell r="E1614" t="str">
            <v>HDPE Butt-Fusion Reducing Coupler (1.0MPa) SDR17 dn355x315 Black</v>
          </cell>
          <cell r="F1614">
            <v>1</v>
          </cell>
          <cell r="G1614">
            <v>443590</v>
          </cell>
          <cell r="H1614">
            <v>399631</v>
          </cell>
          <cell r="I1614">
            <v>0.15</v>
          </cell>
          <cell r="J1614">
            <v>470155</v>
          </cell>
          <cell r="K1614">
            <v>0.14</v>
          </cell>
          <cell r="L1614">
            <v>464688</v>
          </cell>
        </row>
        <row r="1615">
          <cell r="C1615">
            <v>8010040887</v>
          </cell>
          <cell r="D1615" t="str">
            <v>对接异径套(PE配件)SDR17(1.0MPa)黑色 dn400X200</v>
          </cell>
          <cell r="E1615" t="str">
            <v>HDPE Butt-Fusion Reducing Coupler (1.0MPa) SDR17 dn400x200 Black</v>
          </cell>
          <cell r="F1615">
            <v>1</v>
          </cell>
          <cell r="G1615">
            <v>550999</v>
          </cell>
          <cell r="H1615">
            <v>496396</v>
          </cell>
          <cell r="I1615">
            <v>0.15</v>
          </cell>
          <cell r="J1615">
            <v>583996</v>
          </cell>
          <cell r="K1615">
            <v>0.14</v>
          </cell>
          <cell r="L1615">
            <v>577205</v>
          </cell>
        </row>
        <row r="1616">
          <cell r="C1616">
            <v>8010040888</v>
          </cell>
          <cell r="D1616" t="str">
            <v>对接异径套(PE配件)SDR17(1.0MPa)黑色 dn400X250</v>
          </cell>
          <cell r="E1616" t="str">
            <v>HDPE Butt-Fusion Reducing Coupler (1.0MPa) SDR17 dn400x250 Black</v>
          </cell>
          <cell r="F1616">
            <v>1</v>
          </cell>
          <cell r="G1616">
            <v>560229</v>
          </cell>
          <cell r="H1616">
            <v>504711</v>
          </cell>
          <cell r="I1616">
            <v>0.15</v>
          </cell>
          <cell r="J1616">
            <v>593778</v>
          </cell>
          <cell r="K1616">
            <v>0.14</v>
          </cell>
          <cell r="L1616">
            <v>586874</v>
          </cell>
        </row>
        <row r="1617">
          <cell r="C1617">
            <v>8010040889</v>
          </cell>
          <cell r="D1617" t="str">
            <v>对接异径套(PE配件)SDR17(1.0MPa)黑色 dn400X315</v>
          </cell>
          <cell r="E1617" t="str">
            <v>HDPE Butt-Fusion Reducing Coupler (1.0MPa) SDR17 dn400x315 Black</v>
          </cell>
          <cell r="F1617">
            <v>1</v>
          </cell>
          <cell r="G1617">
            <v>485371</v>
          </cell>
          <cell r="H1617">
            <v>437272</v>
          </cell>
          <cell r="I1617">
            <v>0.15</v>
          </cell>
          <cell r="J1617">
            <v>514438</v>
          </cell>
          <cell r="K1617">
            <v>0.14</v>
          </cell>
          <cell r="L1617">
            <v>508456</v>
          </cell>
        </row>
        <row r="1618">
          <cell r="C1618">
            <v>8010040891</v>
          </cell>
          <cell r="D1618" t="str">
            <v>对接异径套(PE配件)SDR17(1.0MPa)黑色 dn450X200</v>
          </cell>
          <cell r="E1618" t="str">
            <v>HDPE Butt-Fusion Reducing Coupler (1.0MPa) SDR17 dn450x200 Black</v>
          </cell>
          <cell r="F1618">
            <v>1</v>
          </cell>
          <cell r="G1618">
            <v>738667</v>
          </cell>
          <cell r="H1618">
            <v>665466</v>
          </cell>
          <cell r="I1618">
            <v>0.15</v>
          </cell>
          <cell r="J1618">
            <v>782902</v>
          </cell>
          <cell r="K1618">
            <v>0.14</v>
          </cell>
          <cell r="L1618">
            <v>773798</v>
          </cell>
        </row>
        <row r="1619">
          <cell r="C1619">
            <v>8010040892</v>
          </cell>
          <cell r="D1619" t="str">
            <v>对接异径套(PE配件)SDR17(1.0MPa)黑色 dn450X250</v>
          </cell>
          <cell r="E1619" t="str">
            <v>HDPE Butt-Fusion Reducing Coupler (1.0MPa) SDR17 dn450x250 Black</v>
          </cell>
          <cell r="F1619">
            <v>1</v>
          </cell>
          <cell r="G1619">
            <v>743038</v>
          </cell>
          <cell r="H1619">
            <v>669404</v>
          </cell>
          <cell r="I1619">
            <v>0.15</v>
          </cell>
          <cell r="J1619">
            <v>787535</v>
          </cell>
          <cell r="K1619">
            <v>0.14</v>
          </cell>
          <cell r="L1619">
            <v>778377</v>
          </cell>
        </row>
        <row r="1620">
          <cell r="C1620">
            <v>8010040893</v>
          </cell>
          <cell r="D1620" t="str">
            <v>对接异径套(PE配件)SDR17(1.0MPa)黑色 dn450X315</v>
          </cell>
          <cell r="E1620" t="str">
            <v>HDPE Butt-Fusion Reducing Coupler (1.0MPa) SDR17 dn450x315 Black</v>
          </cell>
          <cell r="F1620">
            <v>1</v>
          </cell>
          <cell r="G1620">
            <v>572619</v>
          </cell>
          <cell r="H1620">
            <v>515873</v>
          </cell>
          <cell r="I1620">
            <v>0.15</v>
          </cell>
          <cell r="J1620">
            <v>606910</v>
          </cell>
          <cell r="K1620">
            <v>0.14</v>
          </cell>
          <cell r="L1620">
            <v>599853</v>
          </cell>
        </row>
        <row r="1621">
          <cell r="C1621">
            <v>8010043182</v>
          </cell>
          <cell r="D1621" t="str">
            <v>对接异径套(PE配件)SDR17(1.0MPa)黑色 dn400X280</v>
          </cell>
          <cell r="E1621" t="str">
            <v>HDPE Butt-Fusion Reducing Coupler (1.0MPa) SDR17 dn400x280 Black</v>
          </cell>
          <cell r="F1621">
            <v>1</v>
          </cell>
          <cell r="G1621">
            <v>598975</v>
          </cell>
          <cell r="H1621">
            <v>539618</v>
          </cell>
          <cell r="I1621">
            <v>0.15</v>
          </cell>
          <cell r="J1621">
            <v>634845</v>
          </cell>
          <cell r="K1621">
            <v>0.14</v>
          </cell>
          <cell r="L1621">
            <v>627463</v>
          </cell>
        </row>
        <row r="1622">
          <cell r="C1622">
            <v>8010042295</v>
          </cell>
          <cell r="D1622" t="str">
            <v>对接异径套(PE配件)SDR17(1.0MPa)黑色 dn110X50</v>
          </cell>
          <cell r="E1622" t="str">
            <v>HDPE Butt-Fusion Reducing Coupler (1.0MPa) SDR17 dn110x50 Black</v>
          </cell>
          <cell r="F1622">
            <v>1</v>
          </cell>
          <cell r="G1622">
            <v>46926</v>
          </cell>
          <cell r="H1622">
            <v>42276</v>
          </cell>
          <cell r="I1622">
            <v>0.15</v>
          </cell>
          <cell r="J1622">
            <v>49737</v>
          </cell>
          <cell r="K1622">
            <v>0.14</v>
          </cell>
          <cell r="L1622">
            <v>49159</v>
          </cell>
        </row>
        <row r="1623">
          <cell r="C1623">
            <v>8010042296</v>
          </cell>
          <cell r="D1623" t="str">
            <v>对接异径套(PE配件)SDR17(1.0MPa)黑色 dn110X63</v>
          </cell>
          <cell r="E1623" t="str">
            <v>HDPE Butt-Fusion Reducing Coupler (1.0MPa) SDR17 dn110x63 Black</v>
          </cell>
          <cell r="F1623">
            <v>1</v>
          </cell>
          <cell r="G1623">
            <v>50967</v>
          </cell>
          <cell r="H1623">
            <v>45917</v>
          </cell>
          <cell r="I1623">
            <v>0.15</v>
          </cell>
          <cell r="J1623">
            <v>54020</v>
          </cell>
          <cell r="K1623">
            <v>0.14</v>
          </cell>
          <cell r="L1623">
            <v>53392</v>
          </cell>
        </row>
        <row r="1624">
          <cell r="C1624">
            <v>8010042297</v>
          </cell>
          <cell r="D1624" t="str">
            <v>对接异径套(PE配件)SDR17(1.0MPa)黑色 dn125X110</v>
          </cell>
          <cell r="E1624" t="str">
            <v>HDPE Butt-Fusion Reducing Coupler (1.0MPa) SDR17 dn125x110 Black</v>
          </cell>
          <cell r="F1624">
            <v>1</v>
          </cell>
          <cell r="G1624">
            <v>65761</v>
          </cell>
          <cell r="H1624">
            <v>59245</v>
          </cell>
          <cell r="I1624">
            <v>0.15</v>
          </cell>
          <cell r="J1624">
            <v>69700</v>
          </cell>
          <cell r="K1624">
            <v>0.14</v>
          </cell>
          <cell r="L1624">
            <v>68890</v>
          </cell>
        </row>
        <row r="1625">
          <cell r="C1625">
            <v>8010042298</v>
          </cell>
          <cell r="D1625" t="str">
            <v>对接异径套(PE配件)SDR17(1.0MPa)黑色 dn180X110</v>
          </cell>
          <cell r="E1625" t="str">
            <v>HDPE Butt-Fusion Reducing Coupler (1.0MPa) SDR17 dn180x110 Black</v>
          </cell>
          <cell r="F1625">
            <v>1</v>
          </cell>
          <cell r="G1625">
            <v>108094</v>
          </cell>
          <cell r="H1625">
            <v>97382</v>
          </cell>
          <cell r="I1625">
            <v>0.15</v>
          </cell>
          <cell r="J1625">
            <v>114568</v>
          </cell>
          <cell r="K1625">
            <v>0.14</v>
          </cell>
          <cell r="L1625">
            <v>113235</v>
          </cell>
        </row>
        <row r="1626">
          <cell r="C1626">
            <v>8010042299</v>
          </cell>
          <cell r="D1626" t="str">
            <v>对接异径套(PE配件)SDR17(1.0MPa)黑色 dn200X180</v>
          </cell>
          <cell r="E1626" t="str">
            <v>HDPE Butt-Fusion Reducing Coupler (1.0MPa) SDR17 dn200x180 Black</v>
          </cell>
          <cell r="F1626">
            <v>1</v>
          </cell>
          <cell r="G1626">
            <v>159257</v>
          </cell>
          <cell r="H1626">
            <v>143475</v>
          </cell>
          <cell r="I1626">
            <v>0.15</v>
          </cell>
          <cell r="J1626">
            <v>168795</v>
          </cell>
          <cell r="K1626">
            <v>0.14</v>
          </cell>
          <cell r="L1626">
            <v>166832</v>
          </cell>
        </row>
        <row r="1627">
          <cell r="C1627">
            <v>8010042301</v>
          </cell>
          <cell r="D1627" t="str">
            <v>对接异径套(PE配件)SDR17(1.0MPa)黑色 dn225X200</v>
          </cell>
          <cell r="E1627" t="str">
            <v>HDPE Butt-Fusion Reducing Coupler (1.0MPa) SDR17 dn225x200 Black</v>
          </cell>
          <cell r="F1627">
            <v>1</v>
          </cell>
          <cell r="G1627">
            <v>221065</v>
          </cell>
          <cell r="H1627">
            <v>199158</v>
          </cell>
          <cell r="I1627">
            <v>0.15</v>
          </cell>
          <cell r="J1627">
            <v>234304</v>
          </cell>
          <cell r="K1627">
            <v>0.14</v>
          </cell>
          <cell r="L1627">
            <v>231580</v>
          </cell>
        </row>
        <row r="1628">
          <cell r="C1628">
            <v>8010042302</v>
          </cell>
          <cell r="D1628" t="str">
            <v>对接异径套(PE配件)SDR17(1.0MPa)黑色 dn280X110</v>
          </cell>
          <cell r="E1628" t="str">
            <v>HDPE Butt-Fusion Reducing Coupler (1.0MPa) SDR17 dn280x110 Black</v>
          </cell>
          <cell r="F1628">
            <v>1</v>
          </cell>
          <cell r="G1628">
            <v>270768</v>
          </cell>
          <cell r="H1628">
            <v>243936</v>
          </cell>
          <cell r="I1628">
            <v>0.15</v>
          </cell>
          <cell r="J1628">
            <v>286984</v>
          </cell>
          <cell r="K1628">
            <v>0.14</v>
          </cell>
          <cell r="L1628">
            <v>283647</v>
          </cell>
        </row>
        <row r="1629">
          <cell r="C1629">
            <v>8010042303</v>
          </cell>
          <cell r="D1629" t="str">
            <v>对接异径套(PE配件)SDR17(1.0MPa)黑色 dn280X200</v>
          </cell>
          <cell r="E1629" t="str">
            <v>HDPE Butt-Fusion Reducing Coupler (1.0MPa) SDR17 dn280x200 Black</v>
          </cell>
          <cell r="F1629">
            <v>1</v>
          </cell>
          <cell r="G1629">
            <v>294685</v>
          </cell>
          <cell r="H1629">
            <v>265482</v>
          </cell>
          <cell r="I1629">
            <v>0.15</v>
          </cell>
          <cell r="J1629">
            <v>312332</v>
          </cell>
          <cell r="K1629">
            <v>0.14</v>
          </cell>
          <cell r="L1629">
            <v>308700</v>
          </cell>
        </row>
        <row r="1630">
          <cell r="C1630">
            <v>8010042307</v>
          </cell>
          <cell r="D1630" t="str">
            <v>对接异径套(PE配件)SDR17(1.0MPa)黑色 dn500X450</v>
          </cell>
          <cell r="E1630" t="str">
            <v>HDPE Butt-Fusion Reducing Coupler (1.0MPa) SDR17 dn500x450 Black</v>
          </cell>
          <cell r="F1630">
            <v>1</v>
          </cell>
          <cell r="G1630">
            <v>1535182</v>
          </cell>
          <cell r="H1630">
            <v>1383047</v>
          </cell>
          <cell r="I1630">
            <v>0.15</v>
          </cell>
          <cell r="J1630">
            <v>1627115</v>
          </cell>
          <cell r="K1630">
            <v>0.14</v>
          </cell>
          <cell r="L1630">
            <v>1608195</v>
          </cell>
        </row>
        <row r="1631">
          <cell r="C1631">
            <v>8010042308</v>
          </cell>
          <cell r="D1631" t="str">
            <v>对接异径套(PE配件)SDR17(1.0MPa)黑色 dn560X500</v>
          </cell>
          <cell r="E1631" t="str">
            <v>HDPE Butt-Fusion Reducing Coupler (1.0MPa) SDR17 dn560x500 Black</v>
          </cell>
          <cell r="F1631">
            <v>1</v>
          </cell>
          <cell r="G1631">
            <v>1520941</v>
          </cell>
          <cell r="H1631">
            <v>1370218</v>
          </cell>
          <cell r="I1631">
            <v>0.15</v>
          </cell>
          <cell r="J1631">
            <v>1612022</v>
          </cell>
          <cell r="K1631">
            <v>0.14</v>
          </cell>
          <cell r="L1631">
            <v>1593277</v>
          </cell>
        </row>
        <row r="1632">
          <cell r="C1632">
            <v>8010042311</v>
          </cell>
          <cell r="D1632" t="str">
            <v>对接异径套(PE配件)SDR17(1.0MPa)黑色 dn75X63</v>
          </cell>
          <cell r="E1632" t="str">
            <v>HDPE Butt-Fusion Reducing Coupler (1.0MPa) SDR17 dn75x63 Black</v>
          </cell>
          <cell r="F1632">
            <v>1</v>
          </cell>
          <cell r="G1632">
            <v>31545</v>
          </cell>
          <cell r="H1632">
            <v>28419</v>
          </cell>
          <cell r="I1632">
            <v>0.15</v>
          </cell>
          <cell r="J1632">
            <v>33435</v>
          </cell>
          <cell r="K1632">
            <v>0.14</v>
          </cell>
          <cell r="L1632">
            <v>33046</v>
          </cell>
        </row>
        <row r="1633">
          <cell r="C1633">
            <v>8010042313</v>
          </cell>
          <cell r="D1633" t="str">
            <v>对接异径套(PE配件)SDR17(1.0MPa)黑色 dn90X63</v>
          </cell>
          <cell r="E1633" t="str">
            <v>HDPE Butt-Fusion Reducing Coupler (1.6MPa) SDR11 dn90x63 Black</v>
          </cell>
          <cell r="F1633">
            <v>1</v>
          </cell>
          <cell r="G1633">
            <v>39520</v>
          </cell>
          <cell r="H1633">
            <v>35604</v>
          </cell>
          <cell r="I1633">
            <v>0.15</v>
          </cell>
          <cell r="J1633">
            <v>41888</v>
          </cell>
          <cell r="K1633">
            <v>0.14</v>
          </cell>
          <cell r="L1633">
            <v>41400</v>
          </cell>
        </row>
        <row r="1634">
          <cell r="C1634">
            <v>8010042314</v>
          </cell>
          <cell r="D1634" t="str">
            <v>对接异径套(PE配件)SDR17(1.0MPa)黑色 dn90X75</v>
          </cell>
          <cell r="E1634" t="str">
            <v>HDPE Butt-Fusion Reducing Coupler (1.0MPa) SDR17 dn90x75 Black</v>
          </cell>
          <cell r="F1634">
            <v>1</v>
          </cell>
          <cell r="G1634">
            <v>38328</v>
          </cell>
          <cell r="H1634">
            <v>34530</v>
          </cell>
          <cell r="I1634">
            <v>0.15</v>
          </cell>
          <cell r="J1634">
            <v>40624</v>
          </cell>
          <cell r="K1634">
            <v>0.14</v>
          </cell>
          <cell r="L1634">
            <v>40152</v>
          </cell>
        </row>
        <row r="1635">
          <cell r="C1635">
            <v>8010042983</v>
          </cell>
          <cell r="D1635" t="str">
            <v>对接异径套(PE配件)SDR17(1.0MPa)黑色 dn180X63</v>
          </cell>
          <cell r="E1635" t="str">
            <v>HDPE Butt-Fusion Reducing Coupler (1.0MPa) SDR17 dn180x63 Black</v>
          </cell>
          <cell r="F1635">
            <v>1</v>
          </cell>
          <cell r="G1635">
            <v>93158</v>
          </cell>
          <cell r="H1635">
            <v>83927</v>
          </cell>
          <cell r="I1635">
            <v>0.15</v>
          </cell>
          <cell r="J1635">
            <v>98738</v>
          </cell>
          <cell r="K1635">
            <v>0.14</v>
          </cell>
          <cell r="L1635">
            <v>97590</v>
          </cell>
        </row>
        <row r="1636">
          <cell r="C1636">
            <v>8010044822</v>
          </cell>
          <cell r="D1636" t="str">
            <v>对接异径套(PE配件)SDR11(1.6MPa)黑色 dn400X225</v>
          </cell>
          <cell r="E1636" t="str">
            <v>HDPE Butt-Fusion Reducing Coupler (1.6MPa) SDR11 dn400x225 Black</v>
          </cell>
          <cell r="F1636">
            <v>1</v>
          </cell>
          <cell r="G1636">
            <v>917088</v>
          </cell>
          <cell r="H1636">
            <v>826206</v>
          </cell>
          <cell r="I1636">
            <v>0.15</v>
          </cell>
          <cell r="J1636">
            <v>972008</v>
          </cell>
          <cell r="K1636">
            <v>0.14</v>
          </cell>
          <cell r="L1636">
            <v>960705</v>
          </cell>
        </row>
        <row r="1637">
          <cell r="C1637">
            <v>8010044911</v>
          </cell>
          <cell r="D1637" t="str">
            <v>对接异径套(PE配件)SDR11(1.6MPa)黑色 dn500X400</v>
          </cell>
          <cell r="E1637" t="str">
            <v>HDPE Butt-Fusion Reducing Coupler (1.6MPa) SDR11 dn500x400 Black</v>
          </cell>
          <cell r="F1637">
            <v>1</v>
          </cell>
          <cell r="G1637">
            <v>2517247</v>
          </cell>
          <cell r="H1637">
            <v>2267791</v>
          </cell>
          <cell r="I1637">
            <v>0.15</v>
          </cell>
          <cell r="J1637">
            <v>2667990</v>
          </cell>
          <cell r="K1637">
            <v>0.14</v>
          </cell>
          <cell r="L1637">
            <v>2636967</v>
          </cell>
        </row>
        <row r="1638">
          <cell r="C1638">
            <v>8010044562</v>
          </cell>
          <cell r="D1638" t="str">
            <v>对接异径套(PE配件)SDR11(1.6MPa)黑色 dn160X63</v>
          </cell>
          <cell r="E1638" t="str">
            <v>HDPE Butt-Fusion Reducing Coupler (1.6MPa) SDR11 dn160x63 Black</v>
          </cell>
          <cell r="F1638">
            <v>1</v>
          </cell>
          <cell r="G1638">
            <v>133684</v>
          </cell>
          <cell r="H1638">
            <v>120437</v>
          </cell>
          <cell r="I1638">
            <v>0.15</v>
          </cell>
          <cell r="J1638">
            <v>141691</v>
          </cell>
          <cell r="K1638">
            <v>0.14</v>
          </cell>
          <cell r="L1638">
            <v>140044</v>
          </cell>
        </row>
        <row r="1639">
          <cell r="C1639">
            <v>8010044613</v>
          </cell>
          <cell r="D1639" t="str">
            <v>对接异径套(PE配件)SDR11(1.6MPa)黑色 dn315X225</v>
          </cell>
          <cell r="E1639" t="str">
            <v>HDPE Butt-Fusion Reducing Coupler (1.6MPa) SDR11 dn315x225 Black</v>
          </cell>
          <cell r="F1639">
            <v>1</v>
          </cell>
          <cell r="G1639">
            <v>672070</v>
          </cell>
          <cell r="H1639">
            <v>605469</v>
          </cell>
          <cell r="I1639">
            <v>0.15</v>
          </cell>
          <cell r="J1639">
            <v>712317</v>
          </cell>
          <cell r="K1639">
            <v>0.14</v>
          </cell>
          <cell r="L1639">
            <v>704034</v>
          </cell>
        </row>
        <row r="1640">
          <cell r="C1640">
            <v>8010044633</v>
          </cell>
          <cell r="D1640" t="str">
            <v>对接异径套(PE配件)SDR11(1.6MPa)黑色 dn315X180</v>
          </cell>
          <cell r="E1640" t="str">
            <v>HDPE Butt-Fusion Reducing Coupler (1.6MPa) SDR11 dn315x180 Black</v>
          </cell>
          <cell r="F1640">
            <v>1</v>
          </cell>
          <cell r="G1640">
            <v>528497</v>
          </cell>
          <cell r="H1640">
            <v>476124</v>
          </cell>
          <cell r="I1640">
            <v>0.15</v>
          </cell>
          <cell r="J1640">
            <v>560146</v>
          </cell>
          <cell r="K1640">
            <v>0.14</v>
          </cell>
          <cell r="L1640">
            <v>553633</v>
          </cell>
        </row>
        <row r="1641">
          <cell r="C1641">
            <v>8010043784</v>
          </cell>
          <cell r="D1641" t="str">
            <v>对接异径套(PE配件)SDR11(1.6MPa)黑色 dn160X75</v>
          </cell>
          <cell r="E1641" t="str">
            <v>HDPE Butt-Fusion Reducing Coupler (1.0MPa) SDR11 dn160x75 Black</v>
          </cell>
          <cell r="F1641">
            <v>1</v>
          </cell>
          <cell r="G1641">
            <v>120546</v>
          </cell>
          <cell r="H1641">
            <v>108600</v>
          </cell>
          <cell r="I1641">
            <v>0.15</v>
          </cell>
          <cell r="J1641">
            <v>127765</v>
          </cell>
          <cell r="K1641">
            <v>0.14</v>
          </cell>
          <cell r="L1641">
            <v>126280</v>
          </cell>
        </row>
        <row r="1642">
          <cell r="C1642">
            <v>8010040837</v>
          </cell>
          <cell r="D1642" t="str">
            <v>对接异径套(PE配件)SDR11(1.6MPa)黑色 dn250X225</v>
          </cell>
          <cell r="E1642" t="str">
            <v>HDPE Butt-Fusion Reducing Coupler (1.6MPa) SDR11 dn250x225 Black</v>
          </cell>
          <cell r="F1642">
            <v>1</v>
          </cell>
          <cell r="G1642">
            <v>280177</v>
          </cell>
          <cell r="H1642">
            <v>252412</v>
          </cell>
          <cell r="I1642">
            <v>0.15</v>
          </cell>
          <cell r="J1642">
            <v>296956</v>
          </cell>
          <cell r="K1642">
            <v>0.14</v>
          </cell>
          <cell r="L1642">
            <v>293503</v>
          </cell>
        </row>
        <row r="1643">
          <cell r="C1643">
            <v>8010040838</v>
          </cell>
          <cell r="D1643" t="str">
            <v>对接异径套(PE配件)SDR11(1.6MPa)黑色 dn315X200</v>
          </cell>
          <cell r="E1643" t="str">
            <v>HDPE Butt-Fusion Reducing Coupler (1.6MPa) SDR11 dn315x200 Black</v>
          </cell>
          <cell r="F1643">
            <v>1</v>
          </cell>
          <cell r="G1643">
            <v>666783</v>
          </cell>
          <cell r="H1643">
            <v>600706</v>
          </cell>
          <cell r="I1643">
            <v>0.15</v>
          </cell>
          <cell r="J1643">
            <v>706713</v>
          </cell>
          <cell r="K1643">
            <v>0.14</v>
          </cell>
          <cell r="L1643">
            <v>698496</v>
          </cell>
        </row>
        <row r="1644">
          <cell r="C1644">
            <v>8010040839</v>
          </cell>
          <cell r="D1644" t="str">
            <v>对接异径套(PE配件)SDR11(1.6MPa)黑色 dn315X250</v>
          </cell>
          <cell r="E1644" t="str">
            <v>HDPE Butt-Fusion Reducing Coupler (1.6MPa) SDR11 dn315x250 Black</v>
          </cell>
          <cell r="F1644">
            <v>1</v>
          </cell>
          <cell r="G1644">
            <v>730202</v>
          </cell>
          <cell r="H1644">
            <v>657840</v>
          </cell>
          <cell r="I1644">
            <v>0.15</v>
          </cell>
          <cell r="J1644">
            <v>773930</v>
          </cell>
          <cell r="K1644">
            <v>0.14</v>
          </cell>
          <cell r="L1644">
            <v>764931</v>
          </cell>
        </row>
        <row r="1645">
          <cell r="C1645">
            <v>8010040840</v>
          </cell>
          <cell r="D1645" t="str">
            <v>对接异径套(PE配件)SDR11(1.6MPa)黑色 dn75X63</v>
          </cell>
          <cell r="E1645" t="str">
            <v>HDPE Butt-Fusion Reducing Coupler (1.6MPa) SDR11 dn75x63 Black</v>
          </cell>
          <cell r="F1645">
            <v>1</v>
          </cell>
          <cell r="G1645">
            <v>32177</v>
          </cell>
          <cell r="H1645">
            <v>28989</v>
          </cell>
          <cell r="I1645">
            <v>0.15</v>
          </cell>
          <cell r="J1645">
            <v>34105</v>
          </cell>
          <cell r="K1645">
            <v>0.14</v>
          </cell>
          <cell r="L1645">
            <v>33709</v>
          </cell>
        </row>
        <row r="1646">
          <cell r="C1646">
            <v>8010040841</v>
          </cell>
          <cell r="D1646" t="str">
            <v>对接异径套(PE配件)SDR11(1.6MPa)黑色 dn90X63</v>
          </cell>
          <cell r="E1646" t="str">
            <v>HDPE Butt-Fusion Reducing Coupler (1.6MPa) SDR11 dn90x63 Black</v>
          </cell>
          <cell r="F1646">
            <v>1</v>
          </cell>
          <cell r="G1646">
            <v>40135</v>
          </cell>
          <cell r="H1646">
            <v>36158</v>
          </cell>
          <cell r="I1646">
            <v>0.15</v>
          </cell>
          <cell r="J1646">
            <v>42539</v>
          </cell>
          <cell r="K1646">
            <v>0.14</v>
          </cell>
          <cell r="L1646">
            <v>42045</v>
          </cell>
        </row>
        <row r="1647">
          <cell r="C1647">
            <v>8010040842</v>
          </cell>
          <cell r="D1647" t="str">
            <v>对接异径套(PE配件)SDR11(1.6MPa)黑色 dn90X75</v>
          </cell>
          <cell r="E1647" t="str">
            <v>HDPE Butt-Fusion Reducing Coupler (1.6MPa) SDR11 dn90x75 Black</v>
          </cell>
          <cell r="F1647">
            <v>1</v>
          </cell>
          <cell r="G1647">
            <v>38452</v>
          </cell>
          <cell r="H1647">
            <v>34642</v>
          </cell>
          <cell r="I1647">
            <v>0.15</v>
          </cell>
          <cell r="J1647">
            <v>40756</v>
          </cell>
          <cell r="K1647">
            <v>0.14</v>
          </cell>
          <cell r="L1647">
            <v>40282</v>
          </cell>
        </row>
        <row r="1648">
          <cell r="C1648">
            <v>8010040836</v>
          </cell>
          <cell r="D1648" t="str">
            <v>对接异径套(PE配件)SDR11(1.6MPa)黑色 dn250X200</v>
          </cell>
          <cell r="E1648" t="str">
            <v>HDPE Butt-Fusion Reducing Coupler (1.0MPa) SDR17 dn250x200 Black</v>
          </cell>
          <cell r="F1648">
            <v>1</v>
          </cell>
          <cell r="G1648">
            <v>294570</v>
          </cell>
          <cell r="H1648">
            <v>265379</v>
          </cell>
          <cell r="I1648">
            <v>0.15</v>
          </cell>
          <cell r="J1648">
            <v>312211</v>
          </cell>
          <cell r="K1648">
            <v>0.14</v>
          </cell>
          <cell r="L1648">
            <v>308581</v>
          </cell>
        </row>
        <row r="1649">
          <cell r="C1649">
            <v>8010040816</v>
          </cell>
          <cell r="D1649" t="str">
            <v>对接异径套(PE配件)SDR11(1.6MPa)黑色 dn110X50</v>
          </cell>
          <cell r="E1649" t="str">
            <v>HDPE Butt-Fusion Reducing Coupler (1.6MPa) SDR11 dn110x50 Black</v>
          </cell>
          <cell r="F1649">
            <v>1</v>
          </cell>
          <cell r="G1649">
            <v>48804</v>
          </cell>
          <cell r="H1649">
            <v>43968</v>
          </cell>
          <cell r="I1649">
            <v>0.15</v>
          </cell>
          <cell r="J1649">
            <v>51728</v>
          </cell>
          <cell r="K1649">
            <v>0.14</v>
          </cell>
          <cell r="L1649">
            <v>51126</v>
          </cell>
        </row>
        <row r="1650">
          <cell r="C1650">
            <v>8010040817</v>
          </cell>
          <cell r="D1650" t="str">
            <v>对接异径套(PE配件)SDR11(1.6MPa)黑色 dn110X63</v>
          </cell>
          <cell r="E1650" t="str">
            <v>HDPE Butt-Fusion Reducing Coupler (1.6MPa) SDR11 dn110x63 Black</v>
          </cell>
          <cell r="F1650">
            <v>1</v>
          </cell>
          <cell r="G1650">
            <v>52792</v>
          </cell>
          <cell r="H1650">
            <v>47561</v>
          </cell>
          <cell r="I1650">
            <v>0.15</v>
          </cell>
          <cell r="J1650">
            <v>55955</v>
          </cell>
          <cell r="K1650">
            <v>0.14</v>
          </cell>
          <cell r="L1650">
            <v>55304</v>
          </cell>
        </row>
        <row r="1651">
          <cell r="C1651">
            <v>8010040818</v>
          </cell>
          <cell r="D1651" t="str">
            <v>对接异径套(PE配件)SDR11(1.6MPa)黑色 dn110X75</v>
          </cell>
          <cell r="E1651" t="str">
            <v>HDPE Butt-Fusion Reducing Coupler (1.6MPa) SDR11 dn110x75 Black</v>
          </cell>
          <cell r="F1651">
            <v>1</v>
          </cell>
          <cell r="G1651">
            <v>52801</v>
          </cell>
          <cell r="H1651">
            <v>47569</v>
          </cell>
          <cell r="I1651">
            <v>0.15</v>
          </cell>
          <cell r="J1651">
            <v>55964</v>
          </cell>
          <cell r="K1651">
            <v>0.14</v>
          </cell>
          <cell r="L1651">
            <v>55313</v>
          </cell>
        </row>
        <row r="1652">
          <cell r="C1652">
            <v>8010040819</v>
          </cell>
          <cell r="D1652" t="str">
            <v>对接异径套(PE配件)SDR11(1.6MPa)黑色 dn110X90</v>
          </cell>
          <cell r="E1652" t="str">
            <v>HDPE Butt-Fusion Reducing Coupler (1.6MPa) SDR11 dn110x90 Black</v>
          </cell>
          <cell r="F1652">
            <v>1</v>
          </cell>
          <cell r="G1652">
            <v>56227</v>
          </cell>
          <cell r="H1652">
            <v>50655</v>
          </cell>
          <cell r="I1652">
            <v>0.15</v>
          </cell>
          <cell r="J1652">
            <v>59595</v>
          </cell>
          <cell r="K1652">
            <v>0.14</v>
          </cell>
          <cell r="L1652">
            <v>58902</v>
          </cell>
        </row>
        <row r="1653">
          <cell r="C1653">
            <v>8010040820</v>
          </cell>
          <cell r="D1653" t="str">
            <v>对接异径套(PE配件)SDR11(1.6MPa)黑色 dn125X110</v>
          </cell>
          <cell r="E1653" t="str">
            <v>HDPE Butt-Fusion Reducing Coupler (1.6MPa) SDR11 dn125x110 Black</v>
          </cell>
          <cell r="F1653">
            <v>1</v>
          </cell>
          <cell r="G1653">
            <v>70309</v>
          </cell>
          <cell r="H1653">
            <v>63342</v>
          </cell>
          <cell r="I1653">
            <v>0.15</v>
          </cell>
          <cell r="J1653">
            <v>74520</v>
          </cell>
          <cell r="K1653">
            <v>0.14</v>
          </cell>
          <cell r="L1653">
            <v>73654</v>
          </cell>
        </row>
        <row r="1654">
          <cell r="C1654">
            <v>8010040821</v>
          </cell>
          <cell r="D1654" t="str">
            <v>对接异径套(PE配件)SDR11(1.6MPa)黑色 dn125X63</v>
          </cell>
          <cell r="E1654" t="str">
            <v>HDPE Butt-Fusion Reducing Coupler (1.6MPa) SDR11 dn125x63 Black</v>
          </cell>
          <cell r="F1654">
            <v>1</v>
          </cell>
          <cell r="G1654">
            <v>60055</v>
          </cell>
          <cell r="H1654">
            <v>54104</v>
          </cell>
          <cell r="I1654">
            <v>0.15</v>
          </cell>
          <cell r="J1654">
            <v>63652</v>
          </cell>
          <cell r="K1654">
            <v>0.14</v>
          </cell>
          <cell r="L1654">
            <v>62912</v>
          </cell>
        </row>
        <row r="1655">
          <cell r="C1655">
            <v>8010040822</v>
          </cell>
          <cell r="D1655" t="str">
            <v>对接异径套(PE配件)SDR11(1.6MPa)黑色 dn125X90</v>
          </cell>
          <cell r="E1655" t="str">
            <v>HDPE Butt-Fusion Reducing Coupler (1.6MPa) SDR11 dn125x90 Black</v>
          </cell>
          <cell r="F1655">
            <v>1</v>
          </cell>
          <cell r="G1655">
            <v>60171</v>
          </cell>
          <cell r="H1655">
            <v>54209</v>
          </cell>
          <cell r="I1655">
            <v>0.15</v>
          </cell>
          <cell r="J1655">
            <v>63776</v>
          </cell>
          <cell r="K1655">
            <v>0.14</v>
          </cell>
          <cell r="L1655">
            <v>63034</v>
          </cell>
        </row>
        <row r="1656">
          <cell r="C1656">
            <v>8010040823</v>
          </cell>
          <cell r="D1656" t="str">
            <v>对接异径套(PE配件)SDR11(1.6MPa)黑色 dn160X110</v>
          </cell>
          <cell r="E1656" t="str">
            <v>HDPE Butt-Fusion Reducing Coupler (1.6MPa) SDR11 dn160x110 Black</v>
          </cell>
          <cell r="F1656">
            <v>1</v>
          </cell>
          <cell r="G1656">
            <v>109669</v>
          </cell>
          <cell r="H1656">
            <v>98801</v>
          </cell>
          <cell r="I1656">
            <v>0.15</v>
          </cell>
          <cell r="J1656">
            <v>116237</v>
          </cell>
          <cell r="K1656">
            <v>0.14</v>
          </cell>
          <cell r="L1656">
            <v>114885</v>
          </cell>
        </row>
        <row r="1657">
          <cell r="C1657">
            <v>8010040824</v>
          </cell>
          <cell r="D1657" t="str">
            <v>对接异径套(PE配件)SDR11(1.6MPa)黑色 dn160X125</v>
          </cell>
          <cell r="E1657" t="str">
            <v>HDPE Butt-Fusion Reducing Coupler (1.6MPa) SDR11 dn160x125 Black</v>
          </cell>
          <cell r="F1657">
            <v>1</v>
          </cell>
          <cell r="G1657">
            <v>104622</v>
          </cell>
          <cell r="H1657">
            <v>94255</v>
          </cell>
          <cell r="I1657">
            <v>0.15</v>
          </cell>
          <cell r="J1657">
            <v>110889</v>
          </cell>
          <cell r="K1657">
            <v>0.14</v>
          </cell>
          <cell r="L1657">
            <v>109599</v>
          </cell>
        </row>
        <row r="1658">
          <cell r="C1658">
            <v>8010040825</v>
          </cell>
          <cell r="D1658" t="str">
            <v>对接异径套(PE配件)SDR11(1.6MPa)黑色 dn160X90</v>
          </cell>
          <cell r="E1658" t="str">
            <v>HDPE Butt-Fusion Reducing Coupler (1.6MPa) SDR11 dn160x90 Black</v>
          </cell>
          <cell r="F1658">
            <v>1</v>
          </cell>
          <cell r="G1658">
            <v>104159</v>
          </cell>
          <cell r="H1658">
            <v>93837</v>
          </cell>
          <cell r="I1658">
            <v>0.15</v>
          </cell>
          <cell r="J1658">
            <v>110397</v>
          </cell>
          <cell r="K1658">
            <v>0.14</v>
          </cell>
          <cell r="L1658">
            <v>109113</v>
          </cell>
        </row>
        <row r="1659">
          <cell r="C1659">
            <v>8010040826</v>
          </cell>
          <cell r="D1659" t="str">
            <v>对接异径套(PE配件)SDR11(1.6MPa)黑色 dn180X110</v>
          </cell>
          <cell r="E1659" t="str">
            <v>HDPE Butt-Fusion Reducing Coupler (1.6MPa) SDR11 dn180x110 Black</v>
          </cell>
          <cell r="F1659">
            <v>1</v>
          </cell>
          <cell r="G1659">
            <v>112037</v>
          </cell>
          <cell r="H1659">
            <v>100935</v>
          </cell>
          <cell r="I1659">
            <v>0.15</v>
          </cell>
          <cell r="J1659">
            <v>118748</v>
          </cell>
          <cell r="K1659">
            <v>0.14</v>
          </cell>
          <cell r="L1659">
            <v>117367</v>
          </cell>
        </row>
        <row r="1660">
          <cell r="C1660">
            <v>8010040827</v>
          </cell>
          <cell r="D1660" t="str">
            <v>对接异径套(PE配件)SDR11(1.6MPa)黑色 dn180X160</v>
          </cell>
          <cell r="E1660" t="str">
            <v>HDPE Butt-Fusion Reducing Coupler (1.6MPa) SDR11 dn180x160 Black</v>
          </cell>
          <cell r="F1660">
            <v>1</v>
          </cell>
          <cell r="G1660">
            <v>128521</v>
          </cell>
          <cell r="H1660">
            <v>115785</v>
          </cell>
          <cell r="I1660">
            <v>0.15</v>
          </cell>
          <cell r="J1660">
            <v>136218</v>
          </cell>
          <cell r="K1660">
            <v>0.14</v>
          </cell>
          <cell r="L1660">
            <v>134634</v>
          </cell>
        </row>
        <row r="1661">
          <cell r="C1661">
            <v>8010040828</v>
          </cell>
          <cell r="D1661" t="str">
            <v>对接异径套(PE配件)SDR11(1.6MPa)黑色 dn180X63</v>
          </cell>
          <cell r="E1661" t="str">
            <v>HDPE Butt-Fusion Reducing Coupler (1.6MPa) SDR11 dn180x63 Black</v>
          </cell>
          <cell r="F1661">
            <v>1</v>
          </cell>
          <cell r="G1661">
            <v>93825</v>
          </cell>
          <cell r="H1661">
            <v>84528</v>
          </cell>
          <cell r="I1661">
            <v>0.15</v>
          </cell>
          <cell r="J1661">
            <v>99445</v>
          </cell>
          <cell r="K1661">
            <v>0.14</v>
          </cell>
          <cell r="L1661">
            <v>98289</v>
          </cell>
        </row>
        <row r="1662">
          <cell r="C1662">
            <v>8010040829</v>
          </cell>
          <cell r="D1662" t="str">
            <v>对接异径套(PE配件)SDR11(1.6MPa)黑色 dn200X110</v>
          </cell>
          <cell r="E1662" t="str">
            <v>HDPE Butt-Fusion Reducing Coupler (1.6MPa) SDR11 dn200x110 Black</v>
          </cell>
          <cell r="F1662">
            <v>1</v>
          </cell>
          <cell r="G1662">
            <v>170757</v>
          </cell>
          <cell r="H1662">
            <v>153836</v>
          </cell>
          <cell r="I1662">
            <v>0.15</v>
          </cell>
          <cell r="J1662">
            <v>180984</v>
          </cell>
          <cell r="K1662">
            <v>0.14</v>
          </cell>
          <cell r="L1662">
            <v>178880</v>
          </cell>
        </row>
        <row r="1663">
          <cell r="C1663">
            <v>8010040830</v>
          </cell>
          <cell r="D1663" t="str">
            <v>对接异径套(PE配件)SDR11(1.6MPa)黑色 dn200X160</v>
          </cell>
          <cell r="E1663" t="str">
            <v>HDPE Butt-Fusion Reducing Coupler (1.6MPa) SDR11 dn200x160 Black</v>
          </cell>
          <cell r="F1663">
            <v>1</v>
          </cell>
          <cell r="G1663">
            <v>179969</v>
          </cell>
          <cell r="H1663">
            <v>162135</v>
          </cell>
          <cell r="I1663">
            <v>0.15</v>
          </cell>
          <cell r="J1663">
            <v>190748</v>
          </cell>
          <cell r="K1663">
            <v>0.14</v>
          </cell>
          <cell r="L1663">
            <v>188530</v>
          </cell>
        </row>
        <row r="1664">
          <cell r="C1664">
            <v>8010040831</v>
          </cell>
          <cell r="D1664" t="str">
            <v>对接异径套(PE配件)SDR11(1.6MPa)黑色 dn200X180</v>
          </cell>
          <cell r="E1664" t="str">
            <v>HDPE Butt-Fusion Reducing Coupler (1.6MPa) SDR11 dn200x180 Black</v>
          </cell>
          <cell r="F1664">
            <v>1</v>
          </cell>
          <cell r="G1664">
            <v>176542</v>
          </cell>
          <cell r="H1664">
            <v>159047</v>
          </cell>
          <cell r="I1664">
            <v>0.15</v>
          </cell>
          <cell r="J1664">
            <v>187115</v>
          </cell>
          <cell r="K1664">
            <v>0.14</v>
          </cell>
          <cell r="L1664">
            <v>184939</v>
          </cell>
        </row>
        <row r="1665">
          <cell r="C1665">
            <v>8010040832</v>
          </cell>
          <cell r="D1665" t="str">
            <v>对接异径套(PE配件)SDR11(1.6MPa)黑色 dn225X160</v>
          </cell>
          <cell r="E1665" t="str">
            <v>HDPE Butt-Fusion Reducing Coupler (1.6MPa) SDR11 dn225x160 Black</v>
          </cell>
          <cell r="F1665">
            <v>1</v>
          </cell>
          <cell r="G1665">
            <v>226548</v>
          </cell>
          <cell r="H1665">
            <v>204098</v>
          </cell>
          <cell r="I1665">
            <v>0.15</v>
          </cell>
          <cell r="J1665">
            <v>240116</v>
          </cell>
          <cell r="K1665">
            <v>0.14</v>
          </cell>
          <cell r="L1665">
            <v>237324</v>
          </cell>
        </row>
        <row r="1666">
          <cell r="C1666">
            <v>8010040833</v>
          </cell>
          <cell r="D1666" t="str">
            <v>对接异径套(PE配件)SDR11(1.6MPa)黑色 dn225X200</v>
          </cell>
          <cell r="E1666" t="str">
            <v>HDPE Butt-Fusion Reducing Coupler (1.6MPa) SDR11 dn225x200 Black</v>
          </cell>
          <cell r="F1666">
            <v>1</v>
          </cell>
          <cell r="G1666">
            <v>234604</v>
          </cell>
          <cell r="H1666">
            <v>211355</v>
          </cell>
          <cell r="I1666">
            <v>0.15</v>
          </cell>
          <cell r="J1666">
            <v>248653</v>
          </cell>
          <cell r="K1666">
            <v>0.14</v>
          </cell>
          <cell r="L1666">
            <v>245762</v>
          </cell>
        </row>
        <row r="1667">
          <cell r="C1667">
            <v>8010040834</v>
          </cell>
          <cell r="D1667" t="str">
            <v>对接异径套(PE配件)SDR11(1.6MPa)黑色 dn250X110</v>
          </cell>
          <cell r="E1667" t="str">
            <v>HDPE Butt-Fusion Reducing Coupler (1.6MPa) SDR11 dn250x110 Black</v>
          </cell>
          <cell r="F1667">
            <v>1</v>
          </cell>
          <cell r="G1667">
            <v>224937</v>
          </cell>
          <cell r="H1667">
            <v>202646</v>
          </cell>
          <cell r="I1667">
            <v>0.15</v>
          </cell>
          <cell r="J1667">
            <v>238408</v>
          </cell>
          <cell r="K1667">
            <v>0.14</v>
          </cell>
          <cell r="L1667">
            <v>235635</v>
          </cell>
        </row>
        <row r="1668">
          <cell r="C1668">
            <v>8010040835</v>
          </cell>
          <cell r="D1668" t="str">
            <v>对接异径套(PE配件)SDR11(1.6MPa)黑色 dn250X160</v>
          </cell>
          <cell r="E1668" t="str">
            <v>HDPE Butt-Fusion Reducing Coupler (1.6MPa) SDR11 dn250x160 Black</v>
          </cell>
          <cell r="F1668">
            <v>1</v>
          </cell>
          <cell r="G1668">
            <v>316208</v>
          </cell>
          <cell r="H1668">
            <v>284873</v>
          </cell>
          <cell r="I1668">
            <v>0.15</v>
          </cell>
          <cell r="J1668">
            <v>335145</v>
          </cell>
          <cell r="K1668">
            <v>0.14</v>
          </cell>
          <cell r="L1668">
            <v>331248</v>
          </cell>
        </row>
        <row r="1669">
          <cell r="C1669">
            <v>8010043391</v>
          </cell>
          <cell r="D1669" t="str">
            <v>对接异径套(PE配件)SDR11(1.6MPa)黑色 dn315X160</v>
          </cell>
          <cell r="E1669" t="str">
            <v>HDPE Butt-Fusion Reducing Coupler (1.6MPa) SDR11 dn315x160 Black</v>
          </cell>
          <cell r="F1669">
            <v>1</v>
          </cell>
          <cell r="G1669">
            <v>596305</v>
          </cell>
          <cell r="H1669">
            <v>537212</v>
          </cell>
          <cell r="I1669">
            <v>0.15</v>
          </cell>
          <cell r="J1669">
            <v>632015</v>
          </cell>
          <cell r="K1669">
            <v>0.14</v>
          </cell>
          <cell r="L1669">
            <v>624666</v>
          </cell>
        </row>
        <row r="1670">
          <cell r="C1670">
            <v>8010042755</v>
          </cell>
          <cell r="D1670" t="str">
            <v>对接异径套(PE配件)SDR11(1.6MPa)黑色 dn355X315</v>
          </cell>
          <cell r="E1670" t="str">
            <v>HDPE Butt-Fusion Reducing Coupler (1.6MPa) SDR11 dn355x315 Black</v>
          </cell>
          <cell r="F1670">
            <v>1</v>
          </cell>
          <cell r="G1670">
            <v>895654</v>
          </cell>
          <cell r="H1670">
            <v>806896</v>
          </cell>
          <cell r="I1670">
            <v>0.15</v>
          </cell>
          <cell r="J1670">
            <v>949290</v>
          </cell>
          <cell r="K1670">
            <v>0.14</v>
          </cell>
          <cell r="L1670">
            <v>938252</v>
          </cell>
        </row>
        <row r="1671">
          <cell r="C1671">
            <v>8010045489</v>
          </cell>
          <cell r="D1671" t="str">
            <v>对接管帽(PE配件)SDR17(1.0MPa)黑色 dn800</v>
          </cell>
          <cell r="E1671" t="str">
            <v>HDPE Butt-Fusion Cap (1.0MPa) SDR17 dn800 Black</v>
          </cell>
          <cell r="F1671">
            <v>1</v>
          </cell>
          <cell r="G1671">
            <v>3947015</v>
          </cell>
          <cell r="H1671">
            <v>3555870</v>
          </cell>
          <cell r="I1671">
            <v>0.15</v>
          </cell>
          <cell r="J1671">
            <v>4183377</v>
          </cell>
          <cell r="K1671">
            <v>0.14</v>
          </cell>
          <cell r="L1671">
            <v>4134733</v>
          </cell>
        </row>
        <row r="1672">
          <cell r="C1672">
            <v>8010044972</v>
          </cell>
          <cell r="D1672" t="str">
            <v>对接管帽(PE配件)SDR17(1.0MPa)黑色 dn710</v>
          </cell>
          <cell r="E1672" t="str">
            <v>HDPE Butt-Fusion Cap (1.0MPa) SDR17 dn710 Black</v>
          </cell>
          <cell r="F1672">
            <v>1</v>
          </cell>
          <cell r="G1672">
            <v>2966258</v>
          </cell>
          <cell r="H1672">
            <v>2672305</v>
          </cell>
          <cell r="I1672">
            <v>0.15</v>
          </cell>
          <cell r="J1672">
            <v>3143889</v>
          </cell>
          <cell r="K1672">
            <v>0.14</v>
          </cell>
          <cell r="L1672">
            <v>3107332</v>
          </cell>
        </row>
        <row r="1673">
          <cell r="C1673">
            <v>8010044503</v>
          </cell>
          <cell r="D1673" t="str">
            <v>对接管帽(PE配件)SDR17(1.0MPa)黑色 dn63</v>
          </cell>
          <cell r="E1673" t="str">
            <v>HDPE Butt-Fusion Cap (1.0MPa) SDR17 dn63 Black</v>
          </cell>
          <cell r="F1673">
            <v>1</v>
          </cell>
          <cell r="G1673">
            <v>16912</v>
          </cell>
          <cell r="H1673">
            <v>15237</v>
          </cell>
          <cell r="I1673">
            <v>0.15</v>
          </cell>
          <cell r="J1673">
            <v>17926</v>
          </cell>
          <cell r="K1673">
            <v>0.14</v>
          </cell>
          <cell r="L1673">
            <v>17718</v>
          </cell>
        </row>
        <row r="1674">
          <cell r="C1674">
            <v>8010044504</v>
          </cell>
          <cell r="D1674" t="str">
            <v>对接管帽(PE配件)SDR17(1.0MPa)黑色 dn125</v>
          </cell>
          <cell r="E1674" t="str">
            <v>HDPE Butt-Fusion Cap (1.0MPa) SDR17 dn125 Black</v>
          </cell>
          <cell r="F1674">
            <v>1</v>
          </cell>
          <cell r="G1674">
            <v>45982</v>
          </cell>
          <cell r="H1674">
            <v>41426</v>
          </cell>
          <cell r="I1674">
            <v>0.15</v>
          </cell>
          <cell r="J1674">
            <v>48737</v>
          </cell>
          <cell r="K1674">
            <v>0.14</v>
          </cell>
          <cell r="L1674">
            <v>48170</v>
          </cell>
        </row>
        <row r="1675">
          <cell r="C1675">
            <v>8010044689</v>
          </cell>
          <cell r="D1675" t="str">
            <v>对接管帽(PE配件)SDR17(1.0MPa)黑色 dn500</v>
          </cell>
          <cell r="E1675" t="str">
            <v>HDPE Butt-Fusion Cap (1.0MPa) SDR17 dn500 Black</v>
          </cell>
          <cell r="F1675">
            <v>1</v>
          </cell>
          <cell r="G1675">
            <v>1109171</v>
          </cell>
          <cell r="H1675">
            <v>999254</v>
          </cell>
          <cell r="I1675">
            <v>0.15</v>
          </cell>
          <cell r="J1675">
            <v>1175593</v>
          </cell>
          <cell r="K1675">
            <v>0.14</v>
          </cell>
          <cell r="L1675">
            <v>1161924</v>
          </cell>
        </row>
        <row r="1676">
          <cell r="C1676">
            <v>8010044690</v>
          </cell>
          <cell r="D1676" t="str">
            <v>对接管帽(PE配件)SDR17(1.0MPa)黑色 dn560</v>
          </cell>
          <cell r="E1676" t="str">
            <v>HDPE Butt-Fusion Cap (1.0MPa) SDR17 dn560 Black</v>
          </cell>
          <cell r="F1676">
            <v>1</v>
          </cell>
          <cell r="G1676">
            <v>1402495</v>
          </cell>
          <cell r="H1676">
            <v>1263510</v>
          </cell>
          <cell r="I1676">
            <v>0.15</v>
          </cell>
          <cell r="J1676">
            <v>1486483</v>
          </cell>
          <cell r="K1676">
            <v>0.14</v>
          </cell>
          <cell r="L1676">
            <v>1469198</v>
          </cell>
        </row>
        <row r="1677">
          <cell r="C1677">
            <v>8010044691</v>
          </cell>
          <cell r="D1677" t="str">
            <v>对接管帽(PE配件)SDR17(1.0MPa)黑色 dn630</v>
          </cell>
          <cell r="E1677" t="str">
            <v>HDPE Butt-Fusion Cap (1.0MPa) SDR17 dn630 Black</v>
          </cell>
          <cell r="F1677">
            <v>1</v>
          </cell>
          <cell r="G1677">
            <v>2004265</v>
          </cell>
          <cell r="H1677">
            <v>1805645</v>
          </cell>
          <cell r="I1677">
            <v>0.15</v>
          </cell>
          <cell r="J1677">
            <v>2124289</v>
          </cell>
          <cell r="K1677">
            <v>0.14</v>
          </cell>
          <cell r="L1677">
            <v>2099588</v>
          </cell>
        </row>
        <row r="1678">
          <cell r="C1678">
            <v>8010044698</v>
          </cell>
          <cell r="D1678" t="str">
            <v>对接管帽(PE配件)SDR17(1.0MPa)黑色 dn450</v>
          </cell>
          <cell r="E1678" t="str">
            <v>HDPE Butt-Fusion Cap (1.0MPa) SDR17 dn450 Black</v>
          </cell>
          <cell r="F1678">
            <v>1</v>
          </cell>
          <cell r="G1678">
            <v>877736</v>
          </cell>
          <cell r="H1678">
            <v>790754</v>
          </cell>
          <cell r="I1678">
            <v>0.15</v>
          </cell>
          <cell r="J1678">
            <v>930299</v>
          </cell>
          <cell r="K1678">
            <v>0.14</v>
          </cell>
          <cell r="L1678">
            <v>919482</v>
          </cell>
        </row>
        <row r="1679">
          <cell r="C1679">
            <v>8010041409</v>
          </cell>
          <cell r="D1679" t="str">
            <v>对接管帽(PE配件)SDR17(1.0MPa)黑色 dn90</v>
          </cell>
          <cell r="E1679" t="str">
            <v>HDPE Butt-Fusion End Cap (1.0MPa) SDR17 dn90 Black</v>
          </cell>
          <cell r="F1679">
            <v>1</v>
          </cell>
          <cell r="G1679">
            <v>27896</v>
          </cell>
          <cell r="H1679">
            <v>25132</v>
          </cell>
          <cell r="I1679">
            <v>0.15</v>
          </cell>
          <cell r="J1679">
            <v>29568</v>
          </cell>
          <cell r="K1679">
            <v>0.14</v>
          </cell>
          <cell r="L1679">
            <v>29224</v>
          </cell>
        </row>
        <row r="1680">
          <cell r="C1680">
            <v>8010041542</v>
          </cell>
          <cell r="D1680" t="str">
            <v>对接管帽(PE配件)SDR17(1.0MPa)黑色 dn110</v>
          </cell>
          <cell r="E1680" t="str">
            <v>HDPE Butt-Fusion Cap (1.0MPa) SDR17 dn110 Black</v>
          </cell>
          <cell r="F1680">
            <v>1</v>
          </cell>
          <cell r="G1680">
            <v>37829</v>
          </cell>
          <cell r="H1680">
            <v>34081</v>
          </cell>
          <cell r="I1680">
            <v>0.15</v>
          </cell>
          <cell r="J1680">
            <v>40096</v>
          </cell>
          <cell r="K1680">
            <v>0.14</v>
          </cell>
          <cell r="L1680">
            <v>39630</v>
          </cell>
        </row>
        <row r="1681">
          <cell r="C1681">
            <v>8010041543</v>
          </cell>
          <cell r="D1681" t="str">
            <v>对接管帽(PE配件)SDR17(1.0MPa)黑色 dn250</v>
          </cell>
          <cell r="E1681" t="str">
            <v>HDPE Butt-Fusion Cap (1.0MPa) SDR17 dn250 Black</v>
          </cell>
          <cell r="F1681">
            <v>1</v>
          </cell>
          <cell r="G1681">
            <v>250528</v>
          </cell>
          <cell r="H1681">
            <v>225701</v>
          </cell>
          <cell r="I1681">
            <v>0.15</v>
          </cell>
          <cell r="J1681">
            <v>265531</v>
          </cell>
          <cell r="K1681">
            <v>0.14</v>
          </cell>
          <cell r="L1681">
            <v>262444</v>
          </cell>
        </row>
        <row r="1682">
          <cell r="C1682">
            <v>8010042238</v>
          </cell>
          <cell r="D1682" t="str">
            <v>对接管帽(PE配件)SDR17(1.0MPa)黑色 dn75</v>
          </cell>
          <cell r="E1682" t="str">
            <v>HDPE Butt-Fusion Cap (1.0MPa) SDR17 dn75 Black</v>
          </cell>
          <cell r="F1682">
            <v>1</v>
          </cell>
          <cell r="G1682">
            <v>20926</v>
          </cell>
          <cell r="H1682">
            <v>18853</v>
          </cell>
          <cell r="I1682">
            <v>0.15</v>
          </cell>
          <cell r="J1682">
            <v>22180</v>
          </cell>
          <cell r="K1682">
            <v>0.14</v>
          </cell>
          <cell r="L1682">
            <v>21923</v>
          </cell>
        </row>
        <row r="1683">
          <cell r="C1683">
            <v>8010042982</v>
          </cell>
          <cell r="D1683" t="str">
            <v>对接管帽(PE配件)SDR17(1.0MPa)黑色 dn180</v>
          </cell>
          <cell r="E1683" t="str">
            <v>HDPE Butt-Fusion Cap (1.0MPa) SDR17 dn180 Black</v>
          </cell>
          <cell r="F1683">
            <v>1</v>
          </cell>
          <cell r="G1683">
            <v>100038</v>
          </cell>
          <cell r="H1683">
            <v>90125</v>
          </cell>
          <cell r="I1683">
            <v>0.15</v>
          </cell>
          <cell r="J1683">
            <v>106030</v>
          </cell>
          <cell r="K1683">
            <v>0.14</v>
          </cell>
          <cell r="L1683">
            <v>104797</v>
          </cell>
        </row>
        <row r="1684">
          <cell r="C1684">
            <v>8010040695</v>
          </cell>
          <cell r="D1684" t="str">
            <v>对接管帽(PE配件)SDR17(1.0MPa)黑色 dn355</v>
          </cell>
          <cell r="E1684" t="str">
            <v>HDPE Butt-Fusion Cap (1.0MPa) SDR17 dn355 Black</v>
          </cell>
          <cell r="F1684">
            <v>1</v>
          </cell>
          <cell r="G1684">
            <v>337294</v>
          </cell>
          <cell r="H1684">
            <v>303869</v>
          </cell>
          <cell r="I1684">
            <v>0.15</v>
          </cell>
          <cell r="J1684">
            <v>357493</v>
          </cell>
          <cell r="K1684">
            <v>0.14</v>
          </cell>
          <cell r="L1684">
            <v>353337</v>
          </cell>
        </row>
        <row r="1685">
          <cell r="C1685">
            <v>8010040696</v>
          </cell>
          <cell r="D1685" t="str">
            <v>对接管帽(PE配件)SDR17(1.0MPa)黑色 dn400</v>
          </cell>
          <cell r="E1685" t="str">
            <v>HDPE Butt-Fusion Cap (1.0MPa) SDR17 dn400 Black</v>
          </cell>
          <cell r="F1685">
            <v>1</v>
          </cell>
          <cell r="G1685">
            <v>589629</v>
          </cell>
          <cell r="H1685">
            <v>531198</v>
          </cell>
          <cell r="I1685">
            <v>0.15</v>
          </cell>
          <cell r="J1685">
            <v>624939</v>
          </cell>
          <cell r="K1685">
            <v>0.14</v>
          </cell>
          <cell r="L1685">
            <v>617673</v>
          </cell>
        </row>
        <row r="1686">
          <cell r="C1686">
            <v>8010040694</v>
          </cell>
          <cell r="D1686" t="str">
            <v>对接管帽(PE配件)SDR17(1.0MPa)黑色 dn315</v>
          </cell>
          <cell r="E1686" t="str">
            <v>HDPE Butt-Fusion Cap (1.0MPa) SDR17 dn315 Black</v>
          </cell>
          <cell r="F1686">
            <v>1</v>
          </cell>
          <cell r="G1686">
            <v>334045</v>
          </cell>
          <cell r="H1686">
            <v>300942</v>
          </cell>
          <cell r="I1686">
            <v>0.15</v>
          </cell>
          <cell r="J1686">
            <v>354050</v>
          </cell>
          <cell r="K1686">
            <v>0.14</v>
          </cell>
          <cell r="L1686">
            <v>349933</v>
          </cell>
        </row>
        <row r="1687">
          <cell r="C1687">
            <v>8010040691</v>
          </cell>
          <cell r="D1687" t="str">
            <v>对接管帽(PE配件)SDR17(1.0MPa)黑色 dn160</v>
          </cell>
          <cell r="E1687" t="str">
            <v>HDPE Butt-Fusion Cap (1.0MPa) SDR17 dn160 Black</v>
          </cell>
          <cell r="F1687">
            <v>1</v>
          </cell>
          <cell r="G1687">
            <v>89953</v>
          </cell>
          <cell r="H1687">
            <v>81039</v>
          </cell>
          <cell r="I1687">
            <v>0.15</v>
          </cell>
          <cell r="J1687">
            <v>95340</v>
          </cell>
          <cell r="K1687">
            <v>0.14</v>
          </cell>
          <cell r="L1687">
            <v>94232</v>
          </cell>
        </row>
        <row r="1688">
          <cell r="C1688">
            <v>8010040692</v>
          </cell>
          <cell r="D1688" t="str">
            <v>对接管帽(PE配件)SDR17(1.0MPa)黑色 dn200</v>
          </cell>
          <cell r="E1688" t="str">
            <v>HDPE Butt-Fusion Cap (1.0MPa) SDR17 dn200 Black</v>
          </cell>
          <cell r="F1688">
            <v>1</v>
          </cell>
          <cell r="G1688">
            <v>142487</v>
          </cell>
          <cell r="H1688">
            <v>128367</v>
          </cell>
          <cell r="I1688">
            <v>0.15</v>
          </cell>
          <cell r="J1688">
            <v>151020</v>
          </cell>
          <cell r="K1688">
            <v>0.14</v>
          </cell>
          <cell r="L1688">
            <v>149264</v>
          </cell>
        </row>
        <row r="1689">
          <cell r="C1689">
            <v>8010040693</v>
          </cell>
          <cell r="D1689" t="str">
            <v>对接管帽(PE配件)SDR17(1.0MPa)黑色 dn225</v>
          </cell>
          <cell r="E1689" t="str">
            <v>HDPE Butt-Fusion Cap (1.0MPa) SDR17 dn225 Black</v>
          </cell>
          <cell r="F1689">
            <v>1</v>
          </cell>
          <cell r="G1689">
            <v>191736</v>
          </cell>
          <cell r="H1689">
            <v>172736</v>
          </cell>
          <cell r="I1689">
            <v>0.15</v>
          </cell>
          <cell r="J1689">
            <v>203219</v>
          </cell>
          <cell r="K1689">
            <v>0.14</v>
          </cell>
          <cell r="L1689">
            <v>200856</v>
          </cell>
        </row>
        <row r="1690">
          <cell r="C1690">
            <v>8010044466</v>
          </cell>
          <cell r="D1690" t="str">
            <v>对接管帽(PE配件)SDR11(1.6MPa)黑色 dn450</v>
          </cell>
          <cell r="E1690" t="str">
            <v>HDPE Butt-Fusion Cap (1.6MPa) SDR11 dn450 Black</v>
          </cell>
          <cell r="F1690">
            <v>1</v>
          </cell>
          <cell r="G1690">
            <v>1386393</v>
          </cell>
          <cell r="H1690">
            <v>1249003</v>
          </cell>
          <cell r="I1690">
            <v>0.15</v>
          </cell>
          <cell r="J1690">
            <v>1469416</v>
          </cell>
          <cell r="K1690">
            <v>0.14</v>
          </cell>
          <cell r="L1690">
            <v>1452330</v>
          </cell>
        </row>
        <row r="1691">
          <cell r="C1691">
            <v>8010042229</v>
          </cell>
          <cell r="D1691" t="str">
            <v>对接管帽(PE配件)SDR11(1.6MPa)黑色 dn63</v>
          </cell>
          <cell r="E1691" t="str">
            <v>HDPE Butt-Fusion Cap (1.6MPa) SDR11 dn63 Black</v>
          </cell>
          <cell r="F1691">
            <v>1</v>
          </cell>
          <cell r="G1691">
            <v>17526</v>
          </cell>
          <cell r="H1691">
            <v>15790</v>
          </cell>
          <cell r="I1691">
            <v>0.15</v>
          </cell>
          <cell r="J1691">
            <v>18577</v>
          </cell>
          <cell r="K1691">
            <v>0.14</v>
          </cell>
          <cell r="L1691">
            <v>18361</v>
          </cell>
        </row>
        <row r="1692">
          <cell r="C1692">
            <v>8010040672</v>
          </cell>
          <cell r="D1692" t="str">
            <v>对接管帽(PE配件)SDR11(1.6MPa)黑色 dn110</v>
          </cell>
          <cell r="E1692" t="str">
            <v>HDPE Butt-Fusion Cap (1.6MPa) SDR11 dn110 Black</v>
          </cell>
          <cell r="F1692">
            <v>1</v>
          </cell>
          <cell r="G1692">
            <v>38434</v>
          </cell>
          <cell r="H1692">
            <v>34626</v>
          </cell>
          <cell r="I1692">
            <v>0.15</v>
          </cell>
          <cell r="J1692">
            <v>40737</v>
          </cell>
          <cell r="K1692">
            <v>0.14</v>
          </cell>
          <cell r="L1692">
            <v>40263</v>
          </cell>
        </row>
        <row r="1693">
          <cell r="C1693">
            <v>8010040673</v>
          </cell>
          <cell r="D1693" t="str">
            <v>对接管帽(PE配件)SDR11(1.6MPa)黑色 dn125</v>
          </cell>
          <cell r="E1693" t="str">
            <v>HDPE Butt-Fusion Cap (1.6MPa) SDR11 dn125 Black</v>
          </cell>
          <cell r="F1693">
            <v>1</v>
          </cell>
          <cell r="G1693">
            <v>49409</v>
          </cell>
          <cell r="H1693">
            <v>44513</v>
          </cell>
          <cell r="I1693">
            <v>0.15</v>
          </cell>
          <cell r="J1693">
            <v>52369</v>
          </cell>
          <cell r="K1693">
            <v>0.14</v>
          </cell>
          <cell r="L1693">
            <v>51760</v>
          </cell>
        </row>
        <row r="1694">
          <cell r="C1694">
            <v>8010040674</v>
          </cell>
          <cell r="D1694" t="str">
            <v>对接管帽(PE配件)SDR11(1.6MPa)黑色 dn160</v>
          </cell>
          <cell r="E1694" t="str">
            <v>HDPE Butt-Fusion Cap (1.6MPa) SDR11 dn160 Black</v>
          </cell>
          <cell r="F1694">
            <v>1</v>
          </cell>
          <cell r="G1694">
            <v>94813</v>
          </cell>
          <cell r="H1694">
            <v>85418</v>
          </cell>
          <cell r="I1694">
            <v>0.15</v>
          </cell>
          <cell r="J1694">
            <v>100492</v>
          </cell>
          <cell r="K1694">
            <v>0.14</v>
          </cell>
          <cell r="L1694">
            <v>99324</v>
          </cell>
        </row>
        <row r="1695">
          <cell r="C1695">
            <v>8010040675</v>
          </cell>
          <cell r="D1695" t="str">
            <v>对接管帽(PE配件)SDR11(1.6MPa)黑色 dn180</v>
          </cell>
          <cell r="E1695" t="str">
            <v>HDPE Butt-Fusion Cap (1.6MPa) SDR11 dn180 Black</v>
          </cell>
          <cell r="F1695">
            <v>1</v>
          </cell>
          <cell r="G1695">
            <v>105192</v>
          </cell>
          <cell r="H1695">
            <v>94768</v>
          </cell>
          <cell r="I1695">
            <v>0.15</v>
          </cell>
          <cell r="J1695">
            <v>111492</v>
          </cell>
          <cell r="K1695">
            <v>0.14</v>
          </cell>
          <cell r="L1695">
            <v>110196</v>
          </cell>
        </row>
        <row r="1696">
          <cell r="C1696">
            <v>8010040676</v>
          </cell>
          <cell r="D1696" t="str">
            <v>对接管帽(PE配件)SDR11(1.6MPa)黑色 dn200</v>
          </cell>
          <cell r="E1696" t="str">
            <v>HDPE Butt-Fusion Cap (1.6MPa) SDR11 dn200 Black</v>
          </cell>
          <cell r="F1696">
            <v>1</v>
          </cell>
          <cell r="G1696">
            <v>146733</v>
          </cell>
          <cell r="H1696">
            <v>132192</v>
          </cell>
          <cell r="I1696">
            <v>0.15</v>
          </cell>
          <cell r="J1696">
            <v>155520</v>
          </cell>
          <cell r="K1696">
            <v>0.14</v>
          </cell>
          <cell r="L1696">
            <v>153712</v>
          </cell>
        </row>
        <row r="1697">
          <cell r="C1697">
            <v>8010040677</v>
          </cell>
          <cell r="D1697" t="str">
            <v>对接管帽(PE配件)SDR11(1.6MPa)黑色 dn225</v>
          </cell>
          <cell r="E1697" t="str">
            <v>HDPE Butt-Fusion Cap (1.6MPa) SDR11 dn225 Black</v>
          </cell>
          <cell r="F1697">
            <v>1</v>
          </cell>
          <cell r="G1697">
            <v>198181</v>
          </cell>
          <cell r="H1697">
            <v>178542</v>
          </cell>
          <cell r="I1697">
            <v>0.15</v>
          </cell>
          <cell r="J1697">
            <v>210050</v>
          </cell>
          <cell r="K1697">
            <v>0.14</v>
          </cell>
          <cell r="L1697">
            <v>207607</v>
          </cell>
        </row>
        <row r="1698">
          <cell r="C1698">
            <v>8010040678</v>
          </cell>
          <cell r="D1698" t="str">
            <v>对接管帽(PE配件)SDR11(1.6MPa)黑色 dn250</v>
          </cell>
          <cell r="E1698" t="str">
            <v>HDPE Butt-Fusion Cap (1.6MPa) SDR11 dn250 Black</v>
          </cell>
          <cell r="F1698">
            <v>1</v>
          </cell>
          <cell r="G1698">
            <v>256580</v>
          </cell>
          <cell r="H1698">
            <v>231154</v>
          </cell>
          <cell r="I1698">
            <v>0.15</v>
          </cell>
          <cell r="J1698">
            <v>271946</v>
          </cell>
          <cell r="K1698">
            <v>0.14</v>
          </cell>
          <cell r="L1698">
            <v>268784</v>
          </cell>
        </row>
        <row r="1699">
          <cell r="C1699">
            <v>8010040679</v>
          </cell>
          <cell r="D1699" t="str">
            <v>对接管帽(PE配件)SDR11(1.6MPa)黑色 dn315</v>
          </cell>
          <cell r="E1699" t="str">
            <v>HDPE Butt-Fusion Cap (1.6MPa) SDR11 dn315 Black</v>
          </cell>
          <cell r="F1699">
            <v>1</v>
          </cell>
          <cell r="G1699">
            <v>350637</v>
          </cell>
          <cell r="H1699">
            <v>315890</v>
          </cell>
          <cell r="I1699">
            <v>0.15</v>
          </cell>
          <cell r="J1699">
            <v>371636</v>
          </cell>
          <cell r="K1699">
            <v>0.14</v>
          </cell>
          <cell r="L1699">
            <v>367314</v>
          </cell>
        </row>
        <row r="1700">
          <cell r="C1700">
            <v>8010040680</v>
          </cell>
          <cell r="D1700" t="str">
            <v>对接管帽(PE配件)SDR11(1.6MPa)黑色 dn400</v>
          </cell>
          <cell r="E1700" t="str">
            <v>HDPE Butt-Fusion Cap (1.6MPa) SDR11 dn400 Black</v>
          </cell>
          <cell r="F1700">
            <v>1</v>
          </cell>
          <cell r="G1700">
            <v>592620</v>
          </cell>
          <cell r="H1700">
            <v>533892</v>
          </cell>
          <cell r="I1700">
            <v>0.15</v>
          </cell>
          <cell r="J1700">
            <v>628109</v>
          </cell>
          <cell r="K1700">
            <v>0.14</v>
          </cell>
          <cell r="L1700">
            <v>620805</v>
          </cell>
        </row>
        <row r="1701">
          <cell r="C1701">
            <v>8010040681</v>
          </cell>
          <cell r="D1701" t="str">
            <v>对接管帽(PE配件)SDR11(1.6MPa)黑色 dn75</v>
          </cell>
          <cell r="E1701" t="str">
            <v>HDPE Butt-Fusion Cap (1.6MPa) SDR11 dn75 Black</v>
          </cell>
          <cell r="F1701">
            <v>1</v>
          </cell>
          <cell r="G1701">
            <v>21683</v>
          </cell>
          <cell r="H1701">
            <v>19535</v>
          </cell>
          <cell r="I1701">
            <v>0.15</v>
          </cell>
          <cell r="J1701">
            <v>22983</v>
          </cell>
          <cell r="K1701">
            <v>0.14</v>
          </cell>
          <cell r="L1701">
            <v>22716</v>
          </cell>
        </row>
        <row r="1702">
          <cell r="C1702">
            <v>8010040682</v>
          </cell>
          <cell r="D1702" t="str">
            <v>对接管帽(PE配件)SDR11(1.6MPa)黑色 dn90</v>
          </cell>
          <cell r="E1702" t="str">
            <v>HDPE Butt-Fusion Cap (1.6MPa) SDR11 dn90 Black</v>
          </cell>
          <cell r="F1702">
            <v>1</v>
          </cell>
          <cell r="G1702">
            <v>28714</v>
          </cell>
          <cell r="H1702">
            <v>25869</v>
          </cell>
          <cell r="I1702">
            <v>0.15</v>
          </cell>
          <cell r="J1702">
            <v>30435</v>
          </cell>
          <cell r="K1702">
            <v>0.14</v>
          </cell>
          <cell r="L1702">
            <v>30081</v>
          </cell>
        </row>
        <row r="1703">
          <cell r="C1703">
            <v>8010044712</v>
          </cell>
          <cell r="D1703" t="str">
            <v>正四通(PE配件)SDR17(1.0MPa)黑色 dn125</v>
          </cell>
          <cell r="E1703" t="str">
            <v>HDPE Equal Cross (1.0 Mpa) SDR17 dn125 Black</v>
          </cell>
          <cell r="F1703">
            <v>1</v>
          </cell>
          <cell r="G1703">
            <v>215805</v>
          </cell>
          <cell r="H1703">
            <v>194419</v>
          </cell>
          <cell r="I1703">
            <v>0.15</v>
          </cell>
          <cell r="J1703">
            <v>228729</v>
          </cell>
          <cell r="K1703">
            <v>0.14</v>
          </cell>
          <cell r="L1703">
            <v>226069</v>
          </cell>
        </row>
        <row r="1704">
          <cell r="C1704">
            <v>8010044713</v>
          </cell>
          <cell r="D1704" t="str">
            <v>正四通(PE配件)SDR17(1.0MPa)黑色 dn200</v>
          </cell>
          <cell r="E1704" t="str">
            <v>HDPE Equal Cross (1.0 Mpa) SDR17 dn200 Black</v>
          </cell>
          <cell r="F1704">
            <v>1</v>
          </cell>
          <cell r="G1704">
            <v>675951</v>
          </cell>
          <cell r="H1704">
            <v>608965</v>
          </cell>
          <cell r="I1704">
            <v>0.15</v>
          </cell>
          <cell r="J1704">
            <v>716430</v>
          </cell>
          <cell r="K1704">
            <v>0.14</v>
          </cell>
          <cell r="L1704">
            <v>708099</v>
          </cell>
        </row>
        <row r="1705">
          <cell r="C1705">
            <v>8010044791</v>
          </cell>
          <cell r="D1705" t="str">
            <v>正四通(PE配件)SDR17(1.0MPa)黑色 dn225</v>
          </cell>
          <cell r="E1705" t="str">
            <v>HDPE Equal Cross (1.0Mpa) SDR17 dn225 Black</v>
          </cell>
          <cell r="F1705">
            <v>1</v>
          </cell>
          <cell r="G1705">
            <v>1029053</v>
          </cell>
          <cell r="H1705">
            <v>927075</v>
          </cell>
          <cell r="I1705">
            <v>0.15</v>
          </cell>
          <cell r="J1705">
            <v>1090677</v>
          </cell>
          <cell r="K1705">
            <v>0.14</v>
          </cell>
          <cell r="L1705">
            <v>1077995</v>
          </cell>
        </row>
        <row r="1706">
          <cell r="C1706">
            <v>8010044711</v>
          </cell>
          <cell r="D1706" t="str">
            <v>正四通(PE配件)SDR17(1.0MPa)黑色 dn110</v>
          </cell>
          <cell r="E1706" t="str">
            <v>HDPE Equal Cross (1.0Mpa) SDR17 dn110 Black</v>
          </cell>
          <cell r="F1706">
            <v>1</v>
          </cell>
          <cell r="G1706">
            <v>169422</v>
          </cell>
          <cell r="H1706">
            <v>152633</v>
          </cell>
          <cell r="I1706">
            <v>0.15</v>
          </cell>
          <cell r="J1706">
            <v>179569</v>
          </cell>
          <cell r="K1706">
            <v>0.14</v>
          </cell>
          <cell r="L1706">
            <v>177481</v>
          </cell>
        </row>
        <row r="1707">
          <cell r="C1707">
            <v>8010044498</v>
          </cell>
          <cell r="D1707" t="str">
            <v>正四通(PE配件)SDR17(1.0MPa)黑色 dn63</v>
          </cell>
          <cell r="E1707" t="str">
            <v>HDPE Equal Cross (1.0Mpa) SDR17 dn63 Black</v>
          </cell>
          <cell r="F1707">
            <v>1</v>
          </cell>
          <cell r="G1707">
            <v>55551</v>
          </cell>
          <cell r="H1707">
            <v>50046</v>
          </cell>
          <cell r="I1707">
            <v>0.15</v>
          </cell>
          <cell r="J1707">
            <v>58878</v>
          </cell>
          <cell r="K1707">
            <v>0.14</v>
          </cell>
          <cell r="L1707">
            <v>58194</v>
          </cell>
        </row>
        <row r="1708">
          <cell r="C1708">
            <v>8010044499</v>
          </cell>
          <cell r="D1708" t="str">
            <v>正四通(PE配件)SDR17(1.0MPa)黑色 dn75</v>
          </cell>
          <cell r="E1708" t="str">
            <v>HDPE Equal Cross (1.0Mpa) SDR17 dn75 Black</v>
          </cell>
          <cell r="F1708">
            <v>1</v>
          </cell>
          <cell r="G1708">
            <v>69864</v>
          </cell>
          <cell r="H1708">
            <v>62941</v>
          </cell>
          <cell r="I1708">
            <v>0.15</v>
          </cell>
          <cell r="J1708">
            <v>74049</v>
          </cell>
          <cell r="K1708">
            <v>0.14</v>
          </cell>
          <cell r="L1708">
            <v>73188</v>
          </cell>
        </row>
        <row r="1709">
          <cell r="C1709">
            <v>8010044500</v>
          </cell>
          <cell r="D1709" t="str">
            <v>正四通(PE配件)SDR17(1.0MPa)黑色 dn90</v>
          </cell>
          <cell r="E1709" t="str">
            <v>HDPE Equal Cross (1.0Mpa) SDR17 dn90 Black</v>
          </cell>
          <cell r="F1709">
            <v>1</v>
          </cell>
          <cell r="G1709">
            <v>100706</v>
          </cell>
          <cell r="H1709">
            <v>90727</v>
          </cell>
          <cell r="I1709">
            <v>0.15</v>
          </cell>
          <cell r="J1709">
            <v>106738</v>
          </cell>
          <cell r="K1709">
            <v>0.14</v>
          </cell>
          <cell r="L1709">
            <v>105497</v>
          </cell>
        </row>
        <row r="1710">
          <cell r="C1710">
            <v>8010044501</v>
          </cell>
          <cell r="D1710" t="str">
            <v>正四通(PE配件)SDR17(1.0MPa)黑色 dn160</v>
          </cell>
          <cell r="E1710" t="str">
            <v>HDPE Equal Cross (1.0Mpa) SDR17 dn160 Black</v>
          </cell>
          <cell r="F1710">
            <v>1</v>
          </cell>
          <cell r="G1710">
            <v>387211</v>
          </cell>
          <cell r="H1710">
            <v>348839</v>
          </cell>
          <cell r="I1710">
            <v>0.15</v>
          </cell>
          <cell r="J1710">
            <v>410399</v>
          </cell>
          <cell r="K1710">
            <v>0.14</v>
          </cell>
          <cell r="L1710">
            <v>405627</v>
          </cell>
        </row>
        <row r="1711">
          <cell r="C1711">
            <v>8010044790</v>
          </cell>
          <cell r="D1711" t="str">
            <v>正四通(PE配件)SDR11(1.6MPa)黑色 dn225</v>
          </cell>
          <cell r="E1711" t="str">
            <v>HDPE Equal Cross (1.6Mpa) SDR11 dn225 Black</v>
          </cell>
          <cell r="F1711">
            <v>1</v>
          </cell>
          <cell r="G1711">
            <v>1061605</v>
          </cell>
          <cell r="H1711">
            <v>956401</v>
          </cell>
          <cell r="I1711">
            <v>0.15</v>
          </cell>
          <cell r="J1711">
            <v>1125178</v>
          </cell>
          <cell r="K1711">
            <v>0.14</v>
          </cell>
          <cell r="L1711">
            <v>1112095</v>
          </cell>
        </row>
        <row r="1712">
          <cell r="C1712">
            <v>8010044510</v>
          </cell>
          <cell r="D1712" t="str">
            <v>正四通(PE配件)SDR11(1.6MPa)黑色 dn110</v>
          </cell>
          <cell r="E1712" t="str">
            <v>HDPE Equal Cross (1.6Mpa) SDR11 dn110 Black</v>
          </cell>
          <cell r="F1712">
            <v>1</v>
          </cell>
          <cell r="G1712">
            <v>175884</v>
          </cell>
          <cell r="H1712">
            <v>158455</v>
          </cell>
          <cell r="I1712">
            <v>0.15</v>
          </cell>
          <cell r="J1712">
            <v>186418</v>
          </cell>
          <cell r="K1712">
            <v>0.14</v>
          </cell>
          <cell r="L1712">
            <v>184250</v>
          </cell>
        </row>
        <row r="1713">
          <cell r="C1713">
            <v>8010044511</v>
          </cell>
          <cell r="D1713" t="str">
            <v>正四通(PE配件)SDR11(1.6MPa)黑色 dn125</v>
          </cell>
          <cell r="E1713" t="str">
            <v>HDPE Equal Cross (1.6Mpa) SDR11 dn125 Black</v>
          </cell>
          <cell r="F1713">
            <v>1</v>
          </cell>
          <cell r="G1713">
            <v>225507</v>
          </cell>
          <cell r="H1713">
            <v>203160</v>
          </cell>
          <cell r="I1713">
            <v>0.15</v>
          </cell>
          <cell r="J1713">
            <v>239012</v>
          </cell>
          <cell r="K1713">
            <v>0.14</v>
          </cell>
          <cell r="L1713">
            <v>236233</v>
          </cell>
        </row>
        <row r="1714">
          <cell r="C1714">
            <v>8010044605</v>
          </cell>
          <cell r="D1714" t="str">
            <v>正四通(PE配件)SDR11(1.6MPa)黑色 dn200</v>
          </cell>
          <cell r="E1714" t="str">
            <v>HDPE Equal Cross (1.6Mpa) SDR11 dn200 Black</v>
          </cell>
          <cell r="F1714">
            <v>1</v>
          </cell>
          <cell r="G1714">
            <v>707202</v>
          </cell>
          <cell r="H1714">
            <v>637119</v>
          </cell>
          <cell r="I1714">
            <v>0.15</v>
          </cell>
          <cell r="J1714">
            <v>749552</v>
          </cell>
          <cell r="K1714">
            <v>0.14</v>
          </cell>
          <cell r="L1714">
            <v>740837</v>
          </cell>
        </row>
        <row r="1715">
          <cell r="C1715">
            <v>8010044006</v>
          </cell>
          <cell r="D1715" t="str">
            <v>正四通(PE配件)SDR11(1.6MPa)黑色 dn160</v>
          </cell>
          <cell r="E1715" t="str">
            <v>HDPE Equal Cross (1.6Mpa) SDR11 dn160 Black</v>
          </cell>
          <cell r="F1715">
            <v>1</v>
          </cell>
          <cell r="G1715">
            <v>411600</v>
          </cell>
          <cell r="H1715">
            <v>370811</v>
          </cell>
          <cell r="I1715">
            <v>0.15</v>
          </cell>
          <cell r="J1715">
            <v>436249</v>
          </cell>
          <cell r="K1715">
            <v>0.14</v>
          </cell>
          <cell r="L1715">
            <v>431176</v>
          </cell>
        </row>
        <row r="1716">
          <cell r="C1716">
            <v>8010043326</v>
          </cell>
          <cell r="D1716" t="str">
            <v>正四通(PE配件)SDR11(1.6MPa)黑色 dn63</v>
          </cell>
          <cell r="E1716" t="str">
            <v>HDPE Equal Cross (1.6Mpa) SDR11 dn63 Black</v>
          </cell>
          <cell r="F1716">
            <v>1</v>
          </cell>
          <cell r="G1716">
            <v>57518</v>
          </cell>
          <cell r="H1716">
            <v>51819</v>
          </cell>
          <cell r="I1716">
            <v>0.15</v>
          </cell>
          <cell r="J1716">
            <v>60964</v>
          </cell>
          <cell r="K1716">
            <v>0.14</v>
          </cell>
          <cell r="L1716">
            <v>60255</v>
          </cell>
        </row>
        <row r="1717">
          <cell r="C1717">
            <v>8010043327</v>
          </cell>
          <cell r="D1717" t="str">
            <v>正四通(PE配件)SDR11(1.6MPa)黑色 dn75</v>
          </cell>
          <cell r="E1717" t="str">
            <v>HDPE Equal Cross (1.6Mpa) SDR11 dn75 Black</v>
          </cell>
          <cell r="F1717">
            <v>1</v>
          </cell>
          <cell r="G1717">
            <v>72685</v>
          </cell>
          <cell r="H1717">
            <v>65482</v>
          </cell>
          <cell r="I1717">
            <v>0.15</v>
          </cell>
          <cell r="J1717">
            <v>77038</v>
          </cell>
          <cell r="K1717">
            <v>0.14</v>
          </cell>
          <cell r="L1717">
            <v>76142</v>
          </cell>
        </row>
        <row r="1718">
          <cell r="C1718">
            <v>8010043438</v>
          </cell>
          <cell r="D1718" t="str">
            <v>正四通(PE配件)SDR11(1.6MPa)黑色 dn90</v>
          </cell>
          <cell r="E1718" t="str">
            <v>HDPE Equal Cross (1.6Mpa) SDR11 dn90 Black</v>
          </cell>
          <cell r="F1718">
            <v>1</v>
          </cell>
          <cell r="G1718">
            <v>104284</v>
          </cell>
          <cell r="H1718">
            <v>93950</v>
          </cell>
          <cell r="I1718">
            <v>0.15</v>
          </cell>
          <cell r="J1718">
            <v>110530</v>
          </cell>
          <cell r="K1718">
            <v>0.14</v>
          </cell>
          <cell r="L1718">
            <v>109245</v>
          </cell>
        </row>
        <row r="1719">
          <cell r="C1719">
            <v>8020035095</v>
          </cell>
          <cell r="D1719" t="str">
            <v>(IDN)PIPE双壁波纹管(带扩口) SN4 200 6M/根(N1)</v>
          </cell>
          <cell r="E1719" t="str">
            <v>HDPE Double-Wall Corrugated Pipe (Expanding End) SN4 200 6M/pcs (N1)</v>
          </cell>
          <cell r="F1719">
            <v>1</v>
          </cell>
          <cell r="G1719">
            <v>552843</v>
          </cell>
          <cell r="H1719">
            <v>498057</v>
          </cell>
          <cell r="I1719">
            <v>0.1</v>
          </cell>
          <cell r="J1719">
            <v>553397</v>
          </cell>
          <cell r="K1719">
            <v>0.1</v>
          </cell>
          <cell r="L1719">
            <v>553397</v>
          </cell>
        </row>
        <row r="1720">
          <cell r="C1720">
            <v>8020035096</v>
          </cell>
          <cell r="D1720" t="str">
            <v>(IDN)PIPE双壁波纹管(带扩口) SN4 300 6M/根(N1)</v>
          </cell>
          <cell r="E1720" t="str">
            <v>HDPE Double-Wall Corrugated Pipe (Expanding End) SN4 300 6M/pcs (N1)</v>
          </cell>
          <cell r="F1720">
            <v>1</v>
          </cell>
          <cell r="G1720">
            <v>1021554</v>
          </cell>
          <cell r="H1720">
            <v>920319</v>
          </cell>
          <cell r="I1720">
            <v>0.1</v>
          </cell>
          <cell r="J1720">
            <v>1022577</v>
          </cell>
          <cell r="K1720">
            <v>0.1</v>
          </cell>
          <cell r="L1720">
            <v>1022577</v>
          </cell>
        </row>
        <row r="1721">
          <cell r="C1721">
            <v>8020035097</v>
          </cell>
          <cell r="D1721" t="str">
            <v>(IDN)PIPE双壁波纹管(带扩口) SN4 400 6M/根(N1)</v>
          </cell>
          <cell r="E1721" t="str">
            <v>HDPE Double-Wall Corrugated Pipe (Expanding End) SN4 400 6M/pcs (N1)</v>
          </cell>
          <cell r="F1721">
            <v>1</v>
          </cell>
          <cell r="G1721">
            <v>1620111</v>
          </cell>
          <cell r="H1721">
            <v>1459560</v>
          </cell>
          <cell r="I1721">
            <v>0.1</v>
          </cell>
          <cell r="J1721">
            <v>1621734</v>
          </cell>
          <cell r="K1721">
            <v>0.1</v>
          </cell>
          <cell r="L1721">
            <v>1621734</v>
          </cell>
        </row>
        <row r="1722">
          <cell r="C1722">
            <v>8020035144</v>
          </cell>
          <cell r="D1722" t="str">
            <v>(IDN)PIPE双壁波纹管(带扩口) SN4 500 6M/根(N1)</v>
          </cell>
          <cell r="E1722" t="str">
            <v>HDPE Double-Wall Corrugated Pipe (Expanding End) SN4 500 6M/pcs (N1)</v>
          </cell>
          <cell r="F1722">
            <v>1</v>
          </cell>
          <cell r="G1722">
            <v>2617497</v>
          </cell>
          <cell r="H1722">
            <v>2358106</v>
          </cell>
          <cell r="I1722">
            <v>0.1</v>
          </cell>
          <cell r="J1722">
            <v>2620118</v>
          </cell>
          <cell r="K1722">
            <v>0.1</v>
          </cell>
          <cell r="L1722">
            <v>2620118</v>
          </cell>
        </row>
        <row r="1723">
          <cell r="C1723">
            <v>8020035145</v>
          </cell>
          <cell r="D1723" t="str">
            <v>(IDN)PIPE双壁波纹管(带扩口) SN4 600 6M/根(N1)</v>
          </cell>
          <cell r="E1723" t="str">
            <v>HDPE Double-Wall Corrugated Pipe (Expanding End) SN4 600 6M/pcs (N1)</v>
          </cell>
          <cell r="F1723">
            <v>1</v>
          </cell>
          <cell r="G1723">
            <v>3566034</v>
          </cell>
          <cell r="H1723">
            <v>3212644</v>
          </cell>
          <cell r="I1723">
            <v>0.1</v>
          </cell>
          <cell r="J1723">
            <v>3569605</v>
          </cell>
          <cell r="K1723">
            <v>0.1</v>
          </cell>
          <cell r="L1723">
            <v>3569605</v>
          </cell>
        </row>
        <row r="1724">
          <cell r="C1724">
            <v>8020035098</v>
          </cell>
          <cell r="D1724" t="str">
            <v>(IDN)PIPE双壁波纹管(带扩口) SN8 200 6M/根(N1)</v>
          </cell>
          <cell r="E1724" t="str">
            <v>HDPE Double-Wall Corrugated Pipe (Expanding End) SN8 200 6M/pcs (N1)</v>
          </cell>
          <cell r="F1724">
            <v>1</v>
          </cell>
          <cell r="G1724">
            <v>628197</v>
          </cell>
          <cell r="H1724">
            <v>565944</v>
          </cell>
          <cell r="I1724">
            <v>0.1</v>
          </cell>
          <cell r="J1724">
            <v>628827</v>
          </cell>
          <cell r="K1724">
            <v>0.1</v>
          </cell>
          <cell r="L1724">
            <v>628827</v>
          </cell>
        </row>
        <row r="1725">
          <cell r="C1725">
            <v>8020035099</v>
          </cell>
          <cell r="D1725" t="str">
            <v>(IDN)PIPE双壁波纹管(带扩口) SN8 300 6M/根(N1)</v>
          </cell>
          <cell r="E1725" t="str">
            <v>HDPE Double-Wall Corrugated Pipe (Expanding End) SN8 300 6M/pcs (N1)</v>
          </cell>
          <cell r="F1725">
            <v>1</v>
          </cell>
          <cell r="G1725">
            <v>1215012</v>
          </cell>
          <cell r="H1725">
            <v>1094606</v>
          </cell>
          <cell r="I1725">
            <v>0.1</v>
          </cell>
          <cell r="J1725">
            <v>1216229</v>
          </cell>
          <cell r="K1725">
            <v>0.1</v>
          </cell>
          <cell r="L1725">
            <v>1216229</v>
          </cell>
        </row>
        <row r="1726">
          <cell r="C1726">
            <v>8020035100</v>
          </cell>
          <cell r="D1726" t="str">
            <v>(IDN)PIPE双壁波纹管(带扩口) SN8 400 6M/根(N1)</v>
          </cell>
          <cell r="E1726" t="str">
            <v>HDPE Double-Wall Corrugated Pipe (Expanding End) SN8 400 6M/pcs (N1)</v>
          </cell>
          <cell r="F1726">
            <v>1</v>
          </cell>
          <cell r="G1726">
            <v>1905966</v>
          </cell>
          <cell r="H1726">
            <v>1717087</v>
          </cell>
          <cell r="I1726">
            <v>0.1</v>
          </cell>
          <cell r="J1726">
            <v>1907875</v>
          </cell>
          <cell r="K1726">
            <v>0.1</v>
          </cell>
          <cell r="L1726">
            <v>1907875</v>
          </cell>
        </row>
        <row r="1727">
          <cell r="C1727">
            <v>8020035146</v>
          </cell>
          <cell r="D1727" t="str">
            <v>(IDN)PIPE双壁波纹管(带扩口) SN8 500 6M/根(N1)</v>
          </cell>
          <cell r="E1727" t="str">
            <v>HDPE Double-Wall Corrugated Pipe (Expanding End) SN8 500 6M/pcs (N1)</v>
          </cell>
          <cell r="F1727">
            <v>1</v>
          </cell>
          <cell r="G1727">
            <v>3130953</v>
          </cell>
          <cell r="H1727">
            <v>2820679</v>
          </cell>
          <cell r="I1727">
            <v>0.1</v>
          </cell>
          <cell r="J1727">
            <v>3134088</v>
          </cell>
          <cell r="K1727">
            <v>0.1</v>
          </cell>
          <cell r="L1727">
            <v>3134088</v>
          </cell>
        </row>
        <row r="1728">
          <cell r="C1728">
            <v>8020035147</v>
          </cell>
          <cell r="D1728" t="str">
            <v>(IDN)PIPE双壁波纹管(带扩口) SN8 600 6M/根(N1)</v>
          </cell>
          <cell r="E1728" t="str">
            <v>HDPE Double-Wall Corrugated Pipe (Expanding End) SN8 600 6M/pcs (N1)</v>
          </cell>
          <cell r="F1728">
            <v>1</v>
          </cell>
          <cell r="G1728">
            <v>4381818</v>
          </cell>
          <cell r="H1728">
            <v>3947584</v>
          </cell>
          <cell r="I1728">
            <v>0.1</v>
          </cell>
          <cell r="J1728">
            <v>4386205</v>
          </cell>
          <cell r="K1728">
            <v>0.1</v>
          </cell>
          <cell r="L1728">
            <v>4386205</v>
          </cell>
        </row>
        <row r="1729">
          <cell r="C1729">
            <v>8020035148</v>
          </cell>
          <cell r="D1729" t="str">
            <v>(IDN)PIPE双壁波纹管(带扩口) SN8 800 6M/根(N1)</v>
          </cell>
          <cell r="E1729" t="str">
            <v>HDPE Double-Wall Corrugated Pipe (Expanding End)  SN8 800 6M/pcs (N1)</v>
          </cell>
          <cell r="F1729">
            <v>1</v>
          </cell>
          <cell r="G1729">
            <v>9857979</v>
          </cell>
          <cell r="H1729">
            <v>8881063</v>
          </cell>
          <cell r="I1729">
            <v>0.1</v>
          </cell>
          <cell r="J1729">
            <v>9867848</v>
          </cell>
          <cell r="K1729">
            <v>0.1</v>
          </cell>
          <cell r="L1729">
            <v>9867848</v>
          </cell>
        </row>
        <row r="1730">
          <cell r="C1730">
            <v>8020040806</v>
          </cell>
          <cell r="D1730" t="str">
            <v>橡胶密封圈HDPE双壁波纹管(扩口)N/N1/NG SN8  DN/ID200</v>
          </cell>
        </row>
        <row r="1730">
          <cell r="F1730">
            <v>1</v>
          </cell>
          <cell r="G1730">
            <v>12480</v>
          </cell>
          <cell r="H1730">
            <v>11244</v>
          </cell>
          <cell r="I1730">
            <v>0.1</v>
          </cell>
          <cell r="J1730">
            <v>12494</v>
          </cell>
          <cell r="K1730">
            <v>0.1</v>
          </cell>
          <cell r="L1730">
            <v>12494</v>
          </cell>
        </row>
        <row r="1731">
          <cell r="C1731">
            <v>8020040635</v>
          </cell>
          <cell r="D1731" t="str">
            <v>橡胶密封圈HDPE双壁波纹管(扩口)N/N1/NG SN8  DN/ID300</v>
          </cell>
        </row>
        <row r="1731">
          <cell r="F1731">
            <v>1</v>
          </cell>
          <cell r="G1731">
            <v>34608</v>
          </cell>
          <cell r="H1731">
            <v>31179</v>
          </cell>
          <cell r="I1731">
            <v>0.1</v>
          </cell>
          <cell r="J1731">
            <v>34644</v>
          </cell>
          <cell r="K1731">
            <v>0.1</v>
          </cell>
          <cell r="L1731">
            <v>34644</v>
          </cell>
        </row>
        <row r="1732">
          <cell r="C1732">
            <v>8020040638</v>
          </cell>
          <cell r="D1732" t="str">
            <v>橡胶密封圈HDPE双壁波纹管(扩口)N1/NG SN8  DN/ID400</v>
          </cell>
        </row>
        <row r="1732">
          <cell r="F1732">
            <v>1</v>
          </cell>
          <cell r="G1732">
            <v>81792</v>
          </cell>
          <cell r="H1732">
            <v>73687</v>
          </cell>
          <cell r="I1732">
            <v>0.1</v>
          </cell>
          <cell r="J1732">
            <v>81875</v>
          </cell>
          <cell r="K1732">
            <v>0.1</v>
          </cell>
          <cell r="L1732">
            <v>81875</v>
          </cell>
        </row>
        <row r="1733">
          <cell r="C1733">
            <v>8020040706</v>
          </cell>
          <cell r="D1733" t="str">
            <v>橡胶密封圈HDPE双壁波纹管(扩口)N/N1/NG SN8 DN/ID500</v>
          </cell>
        </row>
        <row r="1733">
          <cell r="F1733">
            <v>1</v>
          </cell>
          <cell r="G1733">
            <v>114816</v>
          </cell>
          <cell r="H1733">
            <v>103438</v>
          </cell>
          <cell r="I1733">
            <v>0.1</v>
          </cell>
          <cell r="J1733">
            <v>114932</v>
          </cell>
          <cell r="K1733">
            <v>0.1</v>
          </cell>
          <cell r="L1733">
            <v>114932</v>
          </cell>
        </row>
        <row r="1734">
          <cell r="C1734">
            <v>8020040709</v>
          </cell>
          <cell r="D1734" t="str">
            <v>橡胶密封圈HDPE双壁波纹管(扩口)N/N1/NG SN8 DN/ID600</v>
          </cell>
        </row>
        <row r="1734">
          <cell r="F1734">
            <v>1</v>
          </cell>
          <cell r="G1734">
            <v>173760</v>
          </cell>
          <cell r="H1734">
            <v>156541</v>
          </cell>
          <cell r="I1734">
            <v>0.1</v>
          </cell>
          <cell r="J1734">
            <v>173935</v>
          </cell>
          <cell r="K1734">
            <v>0.1</v>
          </cell>
          <cell r="L1734">
            <v>173935</v>
          </cell>
        </row>
        <row r="1735">
          <cell r="C1735">
            <v>8020040256</v>
          </cell>
          <cell r="D1735" t="str">
            <v>橡胶密封圈HDPE双壁波纹管(扩口)黑色  SN8 DN800</v>
          </cell>
        </row>
        <row r="1735">
          <cell r="F1735">
            <v>1</v>
          </cell>
          <cell r="G1735">
            <v>257904</v>
          </cell>
          <cell r="H1735">
            <v>232346</v>
          </cell>
          <cell r="I1735">
            <v>0.1</v>
          </cell>
          <cell r="J1735">
            <v>258163</v>
          </cell>
          <cell r="K1735">
            <v>0.1</v>
          </cell>
          <cell r="L1735">
            <v>258163</v>
          </cell>
        </row>
        <row r="1736">
          <cell r="C1736">
            <v>8020040805</v>
          </cell>
          <cell r="D1736" t="str">
            <v>橡胶密封圈HDPE双壁波纹管(扩口)N1 SN4 DN/ID200</v>
          </cell>
        </row>
        <row r="1736">
          <cell r="F1736">
            <v>1</v>
          </cell>
          <cell r="G1736">
            <v>9456</v>
          </cell>
          <cell r="H1736">
            <v>8519</v>
          </cell>
          <cell r="I1736">
            <v>0.1</v>
          </cell>
          <cell r="J1736">
            <v>9466</v>
          </cell>
          <cell r="K1736">
            <v>0.1</v>
          </cell>
          <cell r="L1736">
            <v>9466</v>
          </cell>
        </row>
        <row r="1737">
          <cell r="C1737">
            <v>8020040634</v>
          </cell>
          <cell r="D1737" t="str">
            <v>橡胶密封圈HDPE双壁波纹管(扩口)N1 SN4 DN/ID300</v>
          </cell>
        </row>
        <row r="1737">
          <cell r="F1737">
            <v>1</v>
          </cell>
          <cell r="G1737">
            <v>25152</v>
          </cell>
          <cell r="H1737">
            <v>22660</v>
          </cell>
          <cell r="I1737">
            <v>0.1</v>
          </cell>
          <cell r="J1737">
            <v>25178</v>
          </cell>
          <cell r="K1737">
            <v>0.1</v>
          </cell>
          <cell r="L1737">
            <v>25178</v>
          </cell>
        </row>
        <row r="1738">
          <cell r="C1738">
            <v>8020040636</v>
          </cell>
          <cell r="D1738" t="str">
            <v>橡胶密封圈HDPE双壁波纹管(扩口)N1 SN4 DN/ID400</v>
          </cell>
        </row>
        <row r="1738">
          <cell r="F1738">
            <v>1</v>
          </cell>
          <cell r="G1738">
            <v>73920</v>
          </cell>
          <cell r="H1738">
            <v>66595</v>
          </cell>
          <cell r="I1738">
            <v>0.1</v>
          </cell>
          <cell r="J1738">
            <v>73995</v>
          </cell>
          <cell r="K1738">
            <v>0.1</v>
          </cell>
          <cell r="L1738">
            <v>73995</v>
          </cell>
        </row>
        <row r="1739">
          <cell r="C1739">
            <v>8020040707</v>
          </cell>
          <cell r="D1739" t="str">
            <v>橡胶密封圈HDPE双壁波纹管(扩口)N SN4 DN/ID500</v>
          </cell>
        </row>
        <row r="1739">
          <cell r="F1739">
            <v>1</v>
          </cell>
          <cell r="G1739">
            <v>79440</v>
          </cell>
          <cell r="H1739">
            <v>71568</v>
          </cell>
          <cell r="I1739">
            <v>0.1</v>
          </cell>
          <cell r="J1739">
            <v>79520</v>
          </cell>
          <cell r="K1739">
            <v>0.1</v>
          </cell>
          <cell r="L1739">
            <v>79520</v>
          </cell>
        </row>
        <row r="1740">
          <cell r="C1740">
            <v>8020040708</v>
          </cell>
          <cell r="D1740" t="str">
            <v>橡胶密封圈HDPE双壁波纹管(扩口)N SN4 DN/ID600</v>
          </cell>
        </row>
        <row r="1740">
          <cell r="F1740">
            <v>1</v>
          </cell>
          <cell r="G1740">
            <v>138384</v>
          </cell>
          <cell r="H1740">
            <v>124671</v>
          </cell>
          <cell r="I1740">
            <v>0.1</v>
          </cell>
          <cell r="J1740">
            <v>138524</v>
          </cell>
          <cell r="K1740">
            <v>0.1</v>
          </cell>
          <cell r="L1740">
            <v>138524</v>
          </cell>
        </row>
        <row r="1741">
          <cell r="C1741">
            <v>8010036430</v>
          </cell>
          <cell r="D1741" t="str">
            <v>给水用聚乙烯HDPE管盘管(2.0MPa)黑色 dn20 100M(IDN)</v>
          </cell>
          <cell r="E1741" t="str">
            <v>Pipa Coil HDPE Polyethylene untuk Suplai Air (2.0 MPa) Warna Hitam dn20 100M(IDN)</v>
          </cell>
          <cell r="F1741">
            <v>1</v>
          </cell>
          <cell r="G1741">
            <v>676400</v>
          </cell>
          <cell r="H1741">
            <v>609370</v>
          </cell>
        </row>
        <row r="1741">
          <cell r="J1741" t="str">
            <v/>
          </cell>
        </row>
        <row r="1742">
          <cell r="C1742">
            <v>8010036431</v>
          </cell>
          <cell r="D1742" t="str">
            <v>给水用聚乙烯HDPE管盘管(2.0MPa)黑色 dn20 50M(IDN)</v>
          </cell>
          <cell r="E1742" t="str">
            <v>Pipa Coil HDPE Polyethylene untuk Suplai Air (2.0 MPa) Warna Hitam dn20 50M(IDN)</v>
          </cell>
          <cell r="F1742">
            <v>1</v>
          </cell>
          <cell r="G1742">
            <v>338200</v>
          </cell>
          <cell r="H1742">
            <v>304685</v>
          </cell>
        </row>
        <row r="1742">
          <cell r="J1742" t="str">
            <v/>
          </cell>
        </row>
        <row r="1743">
          <cell r="C1743">
            <v>8010036432</v>
          </cell>
          <cell r="D1743" t="str">
            <v>给水用聚乙烯HDPE管盘管(2.5MPa)黑色 dn20 100M(IDN)</v>
          </cell>
          <cell r="E1743" t="str">
            <v>Pipa Coil HDPE Polyethylene untuk Suplai Air (2.5 MPa) Warna Hitam dn20 100M(IDN)</v>
          </cell>
          <cell r="F1743">
            <v>1</v>
          </cell>
          <cell r="G1743">
            <v>835200</v>
          </cell>
          <cell r="H1743">
            <v>752433</v>
          </cell>
        </row>
        <row r="1743">
          <cell r="J1743" t="str">
            <v/>
          </cell>
        </row>
        <row r="1744">
          <cell r="C1744">
            <v>8010036433</v>
          </cell>
          <cell r="D1744" t="str">
            <v>给水用聚乙烯HDPE管盘管(2.5MPa)黑色 dn20 50M(IDN)</v>
          </cell>
          <cell r="E1744" t="str">
            <v>Pipa Coil HDPE Polyethylene untuk Suplai Air (2.5 MPa) Warna Hitam dn20 50M(IDN)</v>
          </cell>
          <cell r="F1744">
            <v>1</v>
          </cell>
          <cell r="G1744">
            <v>417600</v>
          </cell>
          <cell r="H1744">
            <v>376217</v>
          </cell>
        </row>
        <row r="1744">
          <cell r="J1744" t="str">
            <v/>
          </cell>
        </row>
        <row r="1745">
          <cell r="C1745">
            <v>8010036434</v>
          </cell>
          <cell r="D1745" t="str">
            <v>给水用聚乙烯HDPE管盘管(1.25MPa)黑色 dn25 100M(IDN)</v>
          </cell>
          <cell r="E1745" t="str">
            <v>Pipa Coil HDPE Polyethylene untuk Suplai Air (1.25 MPa) Warna Hitam dn25 100M(IDN)</v>
          </cell>
          <cell r="F1745">
            <v>1</v>
          </cell>
          <cell r="G1745">
            <v>717400</v>
          </cell>
          <cell r="H1745">
            <v>646307</v>
          </cell>
        </row>
        <row r="1745">
          <cell r="J1745" t="str">
            <v/>
          </cell>
        </row>
        <row r="1746">
          <cell r="C1746">
            <v>8010036435</v>
          </cell>
          <cell r="D1746" t="str">
            <v>给水用聚乙烯HDPE管盘管(1.25MPa)黑色 dn25 50M(IDN)</v>
          </cell>
          <cell r="E1746" t="str">
            <v>Pipa Coil HDPE Polyethylene untuk Suplai Air (1.25 MPa) Warna Hitam dn25 50M(IDN)</v>
          </cell>
          <cell r="F1746">
            <v>1</v>
          </cell>
          <cell r="G1746">
            <v>358700</v>
          </cell>
          <cell r="H1746">
            <v>323154</v>
          </cell>
        </row>
        <row r="1746">
          <cell r="J1746" t="str">
            <v/>
          </cell>
        </row>
        <row r="1747">
          <cell r="C1747">
            <v>8010036438</v>
          </cell>
          <cell r="D1747" t="str">
            <v>给水用聚乙烯HDPE管盘管(2.0MPa)黑色 dn25 100M(IDN)</v>
          </cell>
          <cell r="E1747" t="str">
            <v>Pipa Coil HDPE Polyethylene untuk Suplai Air (2.0 MPa) Warna Hitam dn25 100M(IDN)</v>
          </cell>
          <cell r="F1747">
            <v>1</v>
          </cell>
          <cell r="G1747">
            <v>1081200</v>
          </cell>
          <cell r="H1747">
            <v>974055</v>
          </cell>
        </row>
        <row r="1747">
          <cell r="J1747" t="str">
            <v/>
          </cell>
        </row>
        <row r="1748">
          <cell r="C1748">
            <v>8010036439</v>
          </cell>
          <cell r="D1748" t="str">
            <v>给水用聚乙烯HDPE管盘管(2.0MPa)黑色 dn25 50M(IDN)</v>
          </cell>
          <cell r="E1748" t="str">
            <v>Pipa Coil HDPE Polyethylene untuk Suplai Air (2.0 MPa) Warna Hitam dn25 50M(IDN)</v>
          </cell>
          <cell r="F1748">
            <v>1</v>
          </cell>
          <cell r="G1748">
            <v>540600</v>
          </cell>
          <cell r="H1748">
            <v>487028</v>
          </cell>
        </row>
        <row r="1748">
          <cell r="J1748" t="str">
            <v/>
          </cell>
        </row>
        <row r="1749">
          <cell r="C1749">
            <v>8010036440</v>
          </cell>
          <cell r="D1749" t="str">
            <v>给水用聚乙烯HDPE管盘管(2.5MPa)黑色 dn25 100M(IDN)</v>
          </cell>
          <cell r="E1749" t="str">
            <v>Pipa Coil HDPE Polyethylene untuk Suplai Air (2.5 MPa) Warna Hitam dn25 100M(IDN)</v>
          </cell>
          <cell r="F1749">
            <v>1</v>
          </cell>
          <cell r="G1749">
            <v>1240000</v>
          </cell>
          <cell r="H1749">
            <v>1117118</v>
          </cell>
        </row>
        <row r="1749">
          <cell r="J1749" t="str">
            <v/>
          </cell>
        </row>
        <row r="1750">
          <cell r="C1750">
            <v>8010036441</v>
          </cell>
          <cell r="D1750" t="str">
            <v>给水用聚乙烯HDPE管盘管(2.5MPa)黑色 dn25 50M(IDN)</v>
          </cell>
          <cell r="E1750" t="str">
            <v>Pipa Coil HDPE Polyethylene untuk Suplai Air (2.5 MPa) Warna Hitam dn25 50M(IDN)</v>
          </cell>
          <cell r="F1750">
            <v>1</v>
          </cell>
          <cell r="G1750">
            <v>620000</v>
          </cell>
          <cell r="H1750">
            <v>558559</v>
          </cell>
        </row>
        <row r="1750">
          <cell r="J1750" t="str">
            <v/>
          </cell>
        </row>
        <row r="1751">
          <cell r="C1751">
            <v>8010036444</v>
          </cell>
          <cell r="D1751" t="str">
            <v>给水用聚乙烯HDPE管盘管(1.25MPa)黑色 dn32 100M(IDN)</v>
          </cell>
          <cell r="E1751" t="str">
            <v>Pipa Coil HDPE Polyethylene untuk Suplai Air (1.25 MPa) Warna Hitam dn32 100M(IDN)</v>
          </cell>
          <cell r="F1751">
            <v>1</v>
          </cell>
          <cell r="G1751">
            <v>1178500</v>
          </cell>
          <cell r="H1751">
            <v>1061712</v>
          </cell>
        </row>
        <row r="1751">
          <cell r="J1751" t="str">
            <v/>
          </cell>
        </row>
        <row r="1752">
          <cell r="C1752">
            <v>8010036445</v>
          </cell>
          <cell r="D1752" t="str">
            <v>给水用聚乙烯HDPE管盘管(1.25MPa)黑色 dn32 50M(Idn)</v>
          </cell>
          <cell r="E1752" t="str">
            <v>Pipa Coil HDPE Polyethylene untuk Suplai Air (1.25 MPa) Warna Hitam dn32 50M(IDN)</v>
          </cell>
          <cell r="F1752">
            <v>1</v>
          </cell>
          <cell r="G1752">
            <v>589250</v>
          </cell>
          <cell r="H1752">
            <v>530856</v>
          </cell>
        </row>
        <row r="1752">
          <cell r="J1752" t="str">
            <v/>
          </cell>
        </row>
        <row r="1753">
          <cell r="C1753">
            <v>8010036448</v>
          </cell>
          <cell r="D1753" t="str">
            <v>给水用聚乙烯HDPE管盘管(2.0MPa)黑色 dn32 100M(IDN)</v>
          </cell>
          <cell r="E1753" t="str">
            <v>Pipa Coil HDPE Polyethylene untuk Suplai Air (2.0 MPa) Warna Hitam dn32 100M(IDN)</v>
          </cell>
          <cell r="F1753">
            <v>1</v>
          </cell>
          <cell r="G1753">
            <v>1680700</v>
          </cell>
          <cell r="H1753">
            <v>1514145</v>
          </cell>
        </row>
        <row r="1753">
          <cell r="J1753" t="str">
            <v/>
          </cell>
        </row>
        <row r="1754">
          <cell r="C1754">
            <v>8010036449</v>
          </cell>
          <cell r="D1754" t="str">
            <v>给水用聚乙烯HDPE管盘管(2.0MPa)黑色 dn32 50M(IDN)</v>
          </cell>
          <cell r="E1754" t="str">
            <v>Pipa Coil HDPE Polyethylene untuk Suplai Air (2.0 MPa) Warna Hitam dn32 50M(IDN)</v>
          </cell>
          <cell r="F1754">
            <v>1</v>
          </cell>
          <cell r="G1754">
            <v>840350</v>
          </cell>
          <cell r="H1754">
            <v>757073</v>
          </cell>
        </row>
        <row r="1754">
          <cell r="J1754" t="str">
            <v/>
          </cell>
        </row>
        <row r="1755">
          <cell r="C1755">
            <v>8010036450</v>
          </cell>
          <cell r="D1755" t="str">
            <v>给水用聚乙烯HDPE管盘管(2.5MPa)黑色 dn32 100M(IDN)</v>
          </cell>
          <cell r="E1755" t="str">
            <v>Pipa Coil HDPE Polyethylene untuk Suplai Air (2.5 MPa) Warna Hitam dn32 100M(IDN)</v>
          </cell>
          <cell r="F1755">
            <v>1</v>
          </cell>
          <cell r="G1755">
            <v>1988100</v>
          </cell>
          <cell r="H1755">
            <v>1791082</v>
          </cell>
        </row>
        <row r="1755">
          <cell r="J1755" t="str">
            <v/>
          </cell>
        </row>
        <row r="1756">
          <cell r="C1756">
            <v>8010036451</v>
          </cell>
          <cell r="D1756" t="str">
            <v>给水用聚乙烯HDPE管盘管(2.5MPa)黑色 dn32 50M(IDN)</v>
          </cell>
          <cell r="E1756" t="str">
            <v>Pipa Coil HDPE Polyethylene untuk Suplai Air (2.5 MPa) Warna Hitam dn32 50M(IDN)</v>
          </cell>
          <cell r="F1756">
            <v>1</v>
          </cell>
          <cell r="G1756">
            <v>994050</v>
          </cell>
          <cell r="H1756">
            <v>895541</v>
          </cell>
        </row>
        <row r="1756">
          <cell r="J1756" t="str">
            <v/>
          </cell>
        </row>
        <row r="1757">
          <cell r="C1757">
            <v>8010036454</v>
          </cell>
          <cell r="D1757" t="str">
            <v>给水用聚乙烯HDPE管盘管(1.25MPa)黑色 dn40 50M(IDN)</v>
          </cell>
          <cell r="E1757" t="str">
            <v>Pipa Coil HDPE Polyethylene untuk Suplai Air (1.25 MPa) Warna Hitam dn40 50M(IDN)</v>
          </cell>
          <cell r="F1757">
            <v>1</v>
          </cell>
          <cell r="G1757">
            <v>906950</v>
          </cell>
          <cell r="H1757">
            <v>817073</v>
          </cell>
        </row>
        <row r="1757">
          <cell r="J1757" t="str">
            <v/>
          </cell>
        </row>
        <row r="1758">
          <cell r="C1758">
            <v>8010036455</v>
          </cell>
          <cell r="D1758" t="str">
            <v>给水用聚乙烯HDPE管盘管(1.25MPa)黑色 dn40 100M(IDN)</v>
          </cell>
          <cell r="E1758" t="str">
            <v>Pipa Coil HDPE Polyethylene untuk Suplai Air (1.25 MPa) Warna Hitam dn40 100M(IDN)</v>
          </cell>
          <cell r="F1758">
            <v>1</v>
          </cell>
          <cell r="G1758">
            <v>1813900</v>
          </cell>
          <cell r="H1758">
            <v>1634145</v>
          </cell>
        </row>
        <row r="1758">
          <cell r="J1758" t="str">
            <v/>
          </cell>
        </row>
        <row r="1759">
          <cell r="C1759">
            <v>8010036458</v>
          </cell>
          <cell r="D1759" t="str">
            <v>给水用聚乙烯HDPE管盘管(2.0MPa)黑色 dn40 100M(IDN)</v>
          </cell>
          <cell r="E1759" t="str">
            <v>Pipa Coil HDPE Polyethylene untuk Suplai Air (2.0 MPa) Warna Hitam dn40 100M(IDN)</v>
          </cell>
          <cell r="F1759">
            <v>1</v>
          </cell>
          <cell r="G1759">
            <v>2618400</v>
          </cell>
          <cell r="H1759">
            <v>2358919</v>
          </cell>
        </row>
        <row r="1759">
          <cell r="J1759" t="str">
            <v/>
          </cell>
        </row>
        <row r="1760">
          <cell r="C1760">
            <v>8010036459</v>
          </cell>
          <cell r="D1760" t="str">
            <v>给水用聚乙烯HDPE管盘管(2.0MPa)黑色 dn40 50M(IDN)</v>
          </cell>
          <cell r="E1760" t="str">
            <v>Pipa Coil HDPE Polyethylene untuk Suplai Air (2.0 MPa) Warna Hitam dn40 50M(IDN)</v>
          </cell>
          <cell r="F1760">
            <v>1</v>
          </cell>
          <cell r="G1760">
            <v>1309200</v>
          </cell>
          <cell r="H1760">
            <v>1179460</v>
          </cell>
        </row>
        <row r="1760">
          <cell r="J1760" t="str">
            <v/>
          </cell>
        </row>
        <row r="1761">
          <cell r="C1761">
            <v>8010036460</v>
          </cell>
          <cell r="D1761" t="str">
            <v>给水用聚乙烯HDPE管盘管(2.5MPa)黑色 dn40 100M(IDN)</v>
          </cell>
          <cell r="E1761" t="str">
            <v>Pipa Coil HDPE Polyethylene untuk Suplai Air (2.5 MPa) Warna Hitam dn40 100M(IDN)</v>
          </cell>
          <cell r="F1761">
            <v>1</v>
          </cell>
          <cell r="G1761">
            <v>3095000</v>
          </cell>
          <cell r="H1761">
            <v>2788289</v>
          </cell>
        </row>
        <row r="1761">
          <cell r="J1761" t="str">
            <v/>
          </cell>
        </row>
        <row r="1762">
          <cell r="C1762">
            <v>8010036461</v>
          </cell>
          <cell r="D1762" t="str">
            <v>给水用聚乙烯HDPE管盘管(2.5MPa)黑色 dn40 50M(IDN)</v>
          </cell>
          <cell r="E1762" t="str">
            <v>Pipa Coil HDPE Polyethylene untuk Suplai Air (2.5 MPa) Warna Hitam dn40 50M(IDN)</v>
          </cell>
          <cell r="F1762">
            <v>1</v>
          </cell>
          <cell r="G1762">
            <v>1547500</v>
          </cell>
          <cell r="H1762">
            <v>1394145</v>
          </cell>
        </row>
        <row r="1762">
          <cell r="J1762" t="str">
            <v/>
          </cell>
        </row>
        <row r="1763">
          <cell r="C1763">
            <v>8010036464</v>
          </cell>
          <cell r="D1763" t="str">
            <v>给水用聚乙烯HDPE管盘管(1.25MPa)黑色 dn50 50M(IDN)</v>
          </cell>
          <cell r="E1763" t="str">
            <v>Pipa Coil HDPE Polyethylene untuk Suplai Air (1.25 MPa) Warna Hitam dn50 50M(IDN)</v>
          </cell>
          <cell r="F1763">
            <v>1</v>
          </cell>
          <cell r="G1763">
            <v>1383500</v>
          </cell>
          <cell r="H1763">
            <v>1246397</v>
          </cell>
        </row>
        <row r="1763">
          <cell r="J1763" t="str">
            <v/>
          </cell>
        </row>
        <row r="1764">
          <cell r="C1764">
            <v>8010036465</v>
          </cell>
          <cell r="D1764" t="str">
            <v>给水用聚乙烯HDPE管盘管(1.25MPa)黑色 dn50 100M(IDN)</v>
          </cell>
          <cell r="E1764" t="str">
            <v>Pipa Coil HDPE Polyethylene untuk Suplai Air (1.25 MPa) Warna Hitam dn50 100M(IDN)</v>
          </cell>
          <cell r="F1764">
            <v>1</v>
          </cell>
          <cell r="G1764">
            <v>2767000</v>
          </cell>
          <cell r="H1764">
            <v>2492793</v>
          </cell>
        </row>
        <row r="1764">
          <cell r="J1764" t="str">
            <v/>
          </cell>
        </row>
        <row r="1765">
          <cell r="C1765">
            <v>8010036468</v>
          </cell>
          <cell r="D1765" t="str">
            <v>给水用聚乙烯HDPE管盘管(2.0MPa)黑色 dn50 100M(IDN)</v>
          </cell>
          <cell r="E1765" t="str">
            <v>Pipa Coil HDPE Polyethylene untuk Suplai Air (2.0 MPa) Warna Hitam dn50 100M(IDN)</v>
          </cell>
          <cell r="F1765">
            <v>1</v>
          </cell>
          <cell r="G1765">
            <v>4063400</v>
          </cell>
          <cell r="H1765">
            <v>3660721</v>
          </cell>
        </row>
        <row r="1765">
          <cell r="J1765" t="str">
            <v/>
          </cell>
        </row>
        <row r="1766">
          <cell r="C1766">
            <v>8010036469</v>
          </cell>
          <cell r="D1766" t="str">
            <v>给水用聚乙烯HDPE管盘管(2.0MPa)黑色 dn50 50M(IDN)</v>
          </cell>
          <cell r="E1766" t="str">
            <v>Pipa Coil HDPE Polyethylene untuk Suplai Air (2.0 MPa) Warna Hitam dn50 50M(IDN)</v>
          </cell>
          <cell r="F1766">
            <v>1</v>
          </cell>
          <cell r="G1766">
            <v>2031700</v>
          </cell>
          <cell r="H1766">
            <v>1830361</v>
          </cell>
        </row>
        <row r="1766">
          <cell r="J1766" t="str">
            <v/>
          </cell>
        </row>
        <row r="1767">
          <cell r="C1767">
            <v>8010036470</v>
          </cell>
          <cell r="D1767" t="str">
            <v>给水用聚乙烯HDPE管盘管(2.5MPa)黑色 dn50 100M(IDN)</v>
          </cell>
          <cell r="E1767" t="str">
            <v>Pipa Coil HDPE Polyethylene untuk Suplai Air (2.5 MPa) Warna Hitam dn50 100M(IDN)</v>
          </cell>
          <cell r="F1767">
            <v>1</v>
          </cell>
          <cell r="G1767">
            <v>4832000</v>
          </cell>
          <cell r="H1767">
            <v>4353154</v>
          </cell>
        </row>
        <row r="1767">
          <cell r="J1767" t="str">
            <v/>
          </cell>
        </row>
        <row r="1768">
          <cell r="C1768">
            <v>8010036471</v>
          </cell>
          <cell r="D1768" t="str">
            <v>给水用聚乙烯HDPE管盘管(2.5MPa)黑色 dn50 50M(IDN)</v>
          </cell>
          <cell r="E1768" t="str">
            <v>Pipa Coil HDPE Polyethylene untuk Suplai Air (2.5 MPa) Warna Hitam dn50 50M(IDN)</v>
          </cell>
          <cell r="F1768">
            <v>1</v>
          </cell>
          <cell r="G1768">
            <v>2416000</v>
          </cell>
          <cell r="H1768">
            <v>2176577</v>
          </cell>
        </row>
        <row r="1768">
          <cell r="J1768" t="str">
            <v/>
          </cell>
        </row>
        <row r="1769">
          <cell r="C1769">
            <v>8010036474</v>
          </cell>
          <cell r="D1769" t="str">
            <v>给水用聚乙烯HDPE管盘管(1.25MPa)黑色 dn63 100M(IDN)</v>
          </cell>
          <cell r="E1769" t="str">
            <v>Pipa Coil HDPE Polyethylene untuk Suplai Air (1.25 MPa) Warna Hitam dn63 100M(IDN)</v>
          </cell>
          <cell r="F1769">
            <v>1</v>
          </cell>
          <cell r="G1769">
            <v>4391400</v>
          </cell>
          <cell r="H1769">
            <v>3956217</v>
          </cell>
        </row>
        <row r="1769">
          <cell r="J1769" t="str">
            <v/>
          </cell>
        </row>
        <row r="1770">
          <cell r="C1770">
            <v>8010036475</v>
          </cell>
          <cell r="D1770" t="str">
            <v>给水用聚乙烯HDPE管盘管(1.25MPa)黑色 dn63 50M(IDN)</v>
          </cell>
          <cell r="E1770" t="str">
            <v>Pipa Coil HDPE Polyethylene untuk Suplai Air (1.25 MPa) Warna Hitam dn63 50M(IDN)</v>
          </cell>
          <cell r="F1770">
            <v>1</v>
          </cell>
          <cell r="G1770">
            <v>2195700</v>
          </cell>
          <cell r="H1770">
            <v>1978109</v>
          </cell>
        </row>
        <row r="1770">
          <cell r="J1770" t="str">
            <v/>
          </cell>
        </row>
        <row r="1771">
          <cell r="C1771">
            <v>8010036478</v>
          </cell>
          <cell r="D1771" t="str">
            <v>给水用聚乙烯HDPE管盘管(2.0MPa)黑色 dn63 100M(IDN)</v>
          </cell>
          <cell r="E1771" t="str">
            <v>Pipa Coil HDPE Polyethylene untuk Suplai Air (2.0 MPa) Warna Hitam dn63 100M(IDN)</v>
          </cell>
          <cell r="F1771">
            <v>1</v>
          </cell>
          <cell r="G1771">
            <v>6482000</v>
          </cell>
          <cell r="H1771">
            <v>5839640</v>
          </cell>
        </row>
        <row r="1771">
          <cell r="J1771" t="str">
            <v/>
          </cell>
        </row>
        <row r="1772">
          <cell r="C1772">
            <v>8010036479</v>
          </cell>
          <cell r="D1772" t="str">
            <v>给水用聚乙烯HDPE管盘管(2.0MPa)黑色 dn63 50M(IDN)</v>
          </cell>
          <cell r="E1772" t="str">
            <v>Pipa Coil HDPE Polyethylene untuk Suplai Air (2.0 MPa) Warna Hitam dn63 50M(IDN)</v>
          </cell>
          <cell r="F1772">
            <v>1</v>
          </cell>
          <cell r="G1772">
            <v>3241000</v>
          </cell>
          <cell r="H1772">
            <v>2919820</v>
          </cell>
        </row>
        <row r="1772">
          <cell r="J1772" t="str">
            <v/>
          </cell>
        </row>
        <row r="1773">
          <cell r="C1773">
            <v>8010036480</v>
          </cell>
          <cell r="D1773" t="str">
            <v>给水用聚乙烯HDPE管盘管(2.5MPa)黑色 dn63 100M(IDN)</v>
          </cell>
          <cell r="E1773" t="str">
            <v>Pipa Coil HDPE Polyethylene untuk Suplai Air (2.5 MPa) Warna Hitam dn63 100M(IDN)</v>
          </cell>
          <cell r="F1773">
            <v>1</v>
          </cell>
          <cell r="G1773">
            <v>7594000</v>
          </cell>
          <cell r="H1773">
            <v>6841442</v>
          </cell>
        </row>
        <row r="1773">
          <cell r="J1773" t="str">
            <v/>
          </cell>
        </row>
        <row r="1774">
          <cell r="C1774">
            <v>8010036481</v>
          </cell>
          <cell r="D1774" t="str">
            <v>给水用聚乙烯HDPE管盘管(2.5MPa)黑色 dn63 50M(IDN)</v>
          </cell>
          <cell r="E1774" t="str">
            <v>Pipa Coil HDPE Polyethylene untuk Suplai Air (2.5 MPa) Warna Hitam dn63 50M(IDN)</v>
          </cell>
          <cell r="F1774">
            <v>1</v>
          </cell>
          <cell r="G1774">
            <v>3797000</v>
          </cell>
          <cell r="H1774">
            <v>3420721</v>
          </cell>
        </row>
        <row r="1774">
          <cell r="J1774" t="str">
            <v/>
          </cell>
        </row>
        <row r="1775">
          <cell r="C1775">
            <v>8010036484</v>
          </cell>
          <cell r="D1775" t="str">
            <v>给水用聚乙烯HDPE管盘管(1.25MPa)黑色 dn75 50M(IDN)</v>
          </cell>
          <cell r="E1775" t="str">
            <v>Pipa Coil HDPE Polyethylene untuk Suplai Air (1.25 MPa) Warna Hitam dn75 50M(IDN)</v>
          </cell>
          <cell r="F1775">
            <v>1</v>
          </cell>
          <cell r="G1775">
            <v>3125700</v>
          </cell>
          <cell r="H1775">
            <v>2815946</v>
          </cell>
        </row>
        <row r="1775">
          <cell r="J1775" t="str">
            <v/>
          </cell>
        </row>
        <row r="1776">
          <cell r="C1776">
            <v>8010036485</v>
          </cell>
          <cell r="D1776" t="str">
            <v>给水用聚乙烯HDPE管盘管(1.25MPa)黑色 dn75 100M(IDN)</v>
          </cell>
          <cell r="E1776" t="str">
            <v>Pipa Coil HDPE Polyethylene untuk Suplai Air (1.25 MPa) Warna Hitam dn75 100M(IDN)</v>
          </cell>
          <cell r="F1776">
            <v>1</v>
          </cell>
          <cell r="G1776">
            <v>6251400</v>
          </cell>
          <cell r="H1776">
            <v>5631892</v>
          </cell>
        </row>
        <row r="1776">
          <cell r="J1776" t="str">
            <v/>
          </cell>
        </row>
        <row r="1777">
          <cell r="C1777">
            <v>8010036488</v>
          </cell>
          <cell r="D1777" t="str">
            <v>给水用聚乙烯HDPE管盘管(2.0MPa)黑色 dn75 100M(IDN)</v>
          </cell>
          <cell r="E1777" t="str">
            <v>Pipa Coil HDPE Polyethylene untuk Suplai Air (2.0 MPa) Warna Hitam dn75 100M(IDN)</v>
          </cell>
          <cell r="F1777">
            <v>1</v>
          </cell>
          <cell r="G1777">
            <v>9110700</v>
          </cell>
          <cell r="H1777">
            <v>8207838</v>
          </cell>
        </row>
        <row r="1777">
          <cell r="J1777" t="str">
            <v/>
          </cell>
        </row>
        <row r="1778">
          <cell r="C1778">
            <v>8010036489</v>
          </cell>
          <cell r="D1778" t="str">
            <v>给水用聚乙烯HDPE管盘管(2.0MPa)黑色 dn75 50M(IDN)</v>
          </cell>
          <cell r="E1778" t="str">
            <v>Pipa Coil HDPE Polyethylene untuk Suplai Air (2.0 MPa) Warna Hitam dn75 50M(IDN)</v>
          </cell>
          <cell r="F1778">
            <v>1</v>
          </cell>
          <cell r="G1778">
            <v>4555350</v>
          </cell>
          <cell r="H1778">
            <v>4103919</v>
          </cell>
        </row>
        <row r="1778">
          <cell r="J1778" t="str">
            <v/>
          </cell>
        </row>
        <row r="1779">
          <cell r="C1779">
            <v>8010036490</v>
          </cell>
          <cell r="D1779" t="str">
            <v>给水用聚乙烯HDPE管盘管(2.5MPa)黑色 dn75 50M(IDN)</v>
          </cell>
          <cell r="E1779" t="str">
            <v>Pipa Coil HDPE Polyethylene untuk Suplai Air (2.5 MPa) Warna Hitam dn75 50M(IDN)</v>
          </cell>
          <cell r="F1779">
            <v>1</v>
          </cell>
          <cell r="G1779">
            <v>5411100</v>
          </cell>
          <cell r="H1779">
            <v>4874865</v>
          </cell>
        </row>
        <row r="1779">
          <cell r="J1779" t="str">
            <v/>
          </cell>
        </row>
        <row r="1780">
          <cell r="C1780">
            <v>8010036491</v>
          </cell>
          <cell r="D1780" t="str">
            <v>给水用聚乙烯HDPE管盘管(2.5MPa)黑色 dn75 100M(IDN)</v>
          </cell>
          <cell r="E1780" t="str">
            <v>Pipa Coil HDPE Polyethylene untuk Suplai Air (2.5 MPa) Warna Hitam dn75 100M(IDN)</v>
          </cell>
          <cell r="F1780">
            <v>1</v>
          </cell>
          <cell r="G1780">
            <v>10822200</v>
          </cell>
          <cell r="H1780">
            <v>9749730</v>
          </cell>
        </row>
        <row r="1780">
          <cell r="J1780" t="str">
            <v/>
          </cell>
        </row>
        <row r="1781">
          <cell r="C1781">
            <v>8010036494</v>
          </cell>
          <cell r="D1781" t="str">
            <v>给水用聚乙烯HDPE管盘管(1.25MPa)黑色 dn90 100M(IDN)</v>
          </cell>
          <cell r="E1781" t="str">
            <v>Pipa Coil HDPE Polyethylene untuk Suplai Air (1.25 MPa) Warna Hitam dn90 100M(IDN)</v>
          </cell>
          <cell r="F1781">
            <v>1</v>
          </cell>
          <cell r="G1781">
            <v>9110700</v>
          </cell>
          <cell r="H1781">
            <v>8207838</v>
          </cell>
        </row>
        <row r="1781">
          <cell r="J1781" t="str">
            <v/>
          </cell>
        </row>
        <row r="1782">
          <cell r="C1782">
            <v>8010036495</v>
          </cell>
          <cell r="D1782" t="str">
            <v>给水用聚乙烯HDPE管盘管(1.25MPa)黑色 dn90 50M(IDN)</v>
          </cell>
          <cell r="E1782" t="str">
            <v>Pipa Coil HDPE Polyethylene untuk Suplai Air (1.25 MPa) Warna Hitam dn90 50M(IDN)</v>
          </cell>
          <cell r="F1782">
            <v>1</v>
          </cell>
          <cell r="G1782">
            <v>4555350</v>
          </cell>
          <cell r="H1782">
            <v>4103919</v>
          </cell>
        </row>
        <row r="1782">
          <cell r="J1782" t="str">
            <v/>
          </cell>
        </row>
        <row r="1783">
          <cell r="C1783">
            <v>8010036498</v>
          </cell>
          <cell r="D1783" t="str">
            <v>给水用聚乙烯HDPE管盘管(2.0MPa)黑色 dn90 100M(IDN)</v>
          </cell>
          <cell r="E1783" t="str">
            <v>Pipa Coil HDPE Polyethylene untuk Suplai Air (2.0 MPa) Warna Hitam dn90 100M(IDN)</v>
          </cell>
          <cell r="F1783">
            <v>1</v>
          </cell>
          <cell r="G1783">
            <v>13502100</v>
          </cell>
          <cell r="H1783">
            <v>12164055</v>
          </cell>
        </row>
        <row r="1783">
          <cell r="J1783" t="str">
            <v/>
          </cell>
        </row>
        <row r="1784">
          <cell r="C1784">
            <v>8010036499</v>
          </cell>
          <cell r="D1784" t="str">
            <v>给水用聚乙烯HDPE管盘管(2.0MPa)黑色 dn90 50M(IDN)</v>
          </cell>
          <cell r="E1784" t="str">
            <v>Pipa Coil HDPE Polyethylene untuk Suplai Air (2.0 MPa) Warna Hitam dn90 50M(IDN)</v>
          </cell>
          <cell r="F1784">
            <v>1</v>
          </cell>
          <cell r="G1784">
            <v>6751050</v>
          </cell>
          <cell r="H1784">
            <v>6082028</v>
          </cell>
        </row>
        <row r="1784">
          <cell r="J1784" t="str">
            <v/>
          </cell>
        </row>
        <row r="1785">
          <cell r="C1785">
            <v>8010036500</v>
          </cell>
          <cell r="D1785" t="str">
            <v>给水用聚乙烯HDPE管盘管(2.5MPa)黑色 dn90 100M(IDN)</v>
          </cell>
          <cell r="E1785" t="str">
            <v>Pipa Coil HDPE Polyethylene untuk Suplai Air (2.5 MPa) Warna Hitam dn90 100M(IDN)</v>
          </cell>
          <cell r="F1785">
            <v>1</v>
          </cell>
          <cell r="G1785">
            <v>15372400</v>
          </cell>
          <cell r="H1785">
            <v>13849010</v>
          </cell>
        </row>
        <row r="1785">
          <cell r="J1785" t="str">
            <v/>
          </cell>
        </row>
        <row r="1786">
          <cell r="C1786">
            <v>8010036501</v>
          </cell>
          <cell r="D1786" t="str">
            <v>给水用聚乙烯HDPE管盘管(2.5MPa)黑色 dn90 50M(IDN)</v>
          </cell>
          <cell r="E1786" t="str">
            <v>Pipa Coil HDPE Polyethylene untuk Suplai Air (2.5 MPa) Warna Hitam dn90 50M(IDN)</v>
          </cell>
          <cell r="F1786">
            <v>1</v>
          </cell>
          <cell r="G1786">
            <v>7686200</v>
          </cell>
          <cell r="H1786">
            <v>6924505</v>
          </cell>
        </row>
        <row r="1786">
          <cell r="J1786" t="str">
            <v/>
          </cell>
        </row>
        <row r="1787">
          <cell r="C1787">
            <v>8010036504</v>
          </cell>
          <cell r="D1787" t="str">
            <v>给水用聚乙烯HDPE管盘管(1.25MPa)黑色 dn110 100M(IDN)</v>
          </cell>
          <cell r="E1787" t="str">
            <v>Pipa Coil HDPE Polyethylene untuk Suplai Air (1.25 MPa) Warna Hitam dn110 100M(IDN)</v>
          </cell>
          <cell r="F1787">
            <v>1</v>
          </cell>
          <cell r="G1787">
            <v>13312500</v>
          </cell>
          <cell r="H1787">
            <v>11993244</v>
          </cell>
        </row>
        <row r="1787">
          <cell r="J1787" t="str">
            <v/>
          </cell>
        </row>
        <row r="1788">
          <cell r="C1788">
            <v>8010036505</v>
          </cell>
          <cell r="D1788" t="str">
            <v>给水用聚乙烯HDPE管盘管(1.25MPa)黑色 dn110 50M(IDN)</v>
          </cell>
          <cell r="E1788" t="str">
            <v>Pipa Coil HDPE Polyethylene untuk Suplai Air (1.25 MPa) Warna Hitam dn110 50M(IDN)</v>
          </cell>
          <cell r="F1788">
            <v>1</v>
          </cell>
          <cell r="G1788">
            <v>6656250</v>
          </cell>
          <cell r="H1788">
            <v>5996622</v>
          </cell>
        </row>
        <row r="1788">
          <cell r="J1788" t="str">
            <v/>
          </cell>
        </row>
        <row r="1789">
          <cell r="C1789">
            <v>8010036508</v>
          </cell>
          <cell r="D1789" t="str">
            <v>给水用聚乙烯HDPE管盘管(2.0MPa)黑色 dn110 100M(IDN)</v>
          </cell>
          <cell r="E1789" t="str">
            <v>Pipa Coil HDPE Polyethylene untuk Suplai Air (2.0 MPa) Warna Hitam dn110 100M(IDN)</v>
          </cell>
          <cell r="F1789">
            <v>1</v>
          </cell>
          <cell r="G1789">
            <v>19523000</v>
          </cell>
          <cell r="H1789">
            <v>17588289</v>
          </cell>
        </row>
        <row r="1789">
          <cell r="J1789" t="str">
            <v/>
          </cell>
        </row>
        <row r="1790">
          <cell r="C1790">
            <v>8010036509</v>
          </cell>
          <cell r="D1790" t="str">
            <v>给水用聚乙烯HDPE管盘管(2.0MPa)黑色 dn110 50M(IDN)</v>
          </cell>
          <cell r="E1790" t="str">
            <v>Pipa Coil HDPE Polyethylene untuk Suplai Air (2.0 MPa) Warna Hitam dn110 50M(IDN)</v>
          </cell>
          <cell r="F1790">
            <v>1</v>
          </cell>
          <cell r="G1790">
            <v>9761500</v>
          </cell>
          <cell r="H1790">
            <v>8794145</v>
          </cell>
        </row>
        <row r="1790">
          <cell r="J1790" t="str">
            <v/>
          </cell>
        </row>
        <row r="1791">
          <cell r="C1791">
            <v>8010036510</v>
          </cell>
          <cell r="D1791" t="str">
            <v>给水用聚乙烯HDPE管盘管(2.5MPa)黑色 dn110 100M(IDN)</v>
          </cell>
          <cell r="E1791" t="str">
            <v>Pipa Coil HDPE Polyethylene untuk Suplai Air (2.5 MPa) Warna Hitam dn110 100M(IDN)</v>
          </cell>
          <cell r="F1791">
            <v>1</v>
          </cell>
          <cell r="G1791">
            <v>23227700</v>
          </cell>
          <cell r="H1791">
            <v>20925856</v>
          </cell>
        </row>
        <row r="1791">
          <cell r="J1791" t="str">
            <v/>
          </cell>
        </row>
        <row r="1792">
          <cell r="C1792">
            <v>8010036511</v>
          </cell>
          <cell r="D1792" t="str">
            <v>给水用聚乙烯HDPE管盘管(2.5MPa)黑色 dn110 50M(IDN)</v>
          </cell>
          <cell r="E1792" t="str">
            <v>Pipa Coil HDPE Polyethylene untuk Suplai Air (2.5 MPa) Warna Hitam dn110 50M(IDN)</v>
          </cell>
          <cell r="F1792">
            <v>1</v>
          </cell>
          <cell r="G1792">
            <v>11613850</v>
          </cell>
          <cell r="H1792">
            <v>10462928</v>
          </cell>
        </row>
        <row r="1792">
          <cell r="J1792" t="str">
            <v/>
          </cell>
        </row>
        <row r="1793">
          <cell r="C1793">
            <v>8010036516</v>
          </cell>
          <cell r="D1793" t="str">
            <v>给水用聚乙烯HDPE直管(2.0MPa)黑色 dn20 5.8M(IDN)</v>
          </cell>
          <cell r="E1793" t="str">
            <v>Pipa HDPE Polyethylene untuk Suplai Air (2.0 MPa) Warna Hitam dn20 5.8M(IDN)</v>
          </cell>
          <cell r="F1793">
            <v>1</v>
          </cell>
          <cell r="G1793">
            <v>39251</v>
          </cell>
          <cell r="H1793">
            <v>35362</v>
          </cell>
        </row>
        <row r="1793">
          <cell r="J1793" t="str">
            <v/>
          </cell>
        </row>
        <row r="1794">
          <cell r="C1794">
            <v>8010036517</v>
          </cell>
          <cell r="D1794" t="str">
            <v>给水用聚乙烯HDPE直管(2.0MPa)黑色 dn20 6M(IDN)</v>
          </cell>
          <cell r="E1794" t="str">
            <v>Pipa HDPE Polyethylene untuk Suplai Air (2.0 MPa) Warna Hitam dn20 6M(IDN)</v>
          </cell>
          <cell r="F1794">
            <v>1</v>
          </cell>
          <cell r="G1794">
            <v>40583</v>
          </cell>
          <cell r="H1794">
            <v>36562</v>
          </cell>
        </row>
        <row r="1794">
          <cell r="J1794" t="str">
            <v/>
          </cell>
        </row>
        <row r="1795">
          <cell r="C1795">
            <v>8010036518</v>
          </cell>
          <cell r="D1795" t="str">
            <v>给水用聚乙烯HDPE直管(2.0MPa)黑色 dn20 11.8M(IDN)</v>
          </cell>
          <cell r="E1795" t="str">
            <v>Pipa HDPE Polyethylene untuk Suplai Air (2.0 MPa) Warna Hitam dn20 11.8M(IDN)</v>
          </cell>
          <cell r="F1795">
            <v>1</v>
          </cell>
          <cell r="G1795">
            <v>79834</v>
          </cell>
          <cell r="H1795">
            <v>71923</v>
          </cell>
        </row>
        <row r="1795">
          <cell r="J1795" t="str">
            <v/>
          </cell>
        </row>
        <row r="1796">
          <cell r="C1796">
            <v>8010036519</v>
          </cell>
          <cell r="D1796" t="str">
            <v>给水用聚乙烯HDPE直管(2.0MPa)黑色 dn20 12M(IDN)</v>
          </cell>
          <cell r="E1796" t="str">
            <v>Pipa HDPE Polyethylene untuk Suplai Air (2.0 MPa) Warna Hitam dn20 12M(IDN)</v>
          </cell>
          <cell r="F1796">
            <v>1</v>
          </cell>
          <cell r="G1796">
            <v>81166</v>
          </cell>
          <cell r="H1796">
            <v>73123</v>
          </cell>
        </row>
        <row r="1796">
          <cell r="J1796" t="str">
            <v/>
          </cell>
        </row>
        <row r="1797">
          <cell r="C1797">
            <v>8010036520</v>
          </cell>
          <cell r="D1797" t="str">
            <v>给水用聚乙烯HDPE直管(2.5MPa)黑色 dn20 5.8M(IDN)</v>
          </cell>
          <cell r="E1797" t="str">
            <v>Pipa HDPE Polyethylene untuk Suplai Air (2.5 MPa) Warna Hitam dn20 5.8M(IDN)</v>
          </cell>
          <cell r="F1797">
            <v>1</v>
          </cell>
          <cell r="G1797">
            <v>48423</v>
          </cell>
          <cell r="H1797">
            <v>43625</v>
          </cell>
        </row>
        <row r="1797">
          <cell r="J1797" t="str">
            <v/>
          </cell>
        </row>
        <row r="1798">
          <cell r="C1798">
            <v>8010036521</v>
          </cell>
          <cell r="D1798" t="str">
            <v>给水用聚乙烯HDPE直管(2.5MPa)黑色 dn20 6M(IDN)</v>
          </cell>
          <cell r="E1798" t="str">
            <v>Pipa HDPE Polyethylene untuk Suplai Air (2.5 MPa) Warna Hitam dn20 6M(IDN)</v>
          </cell>
          <cell r="F1798">
            <v>1</v>
          </cell>
          <cell r="G1798">
            <v>50114</v>
          </cell>
          <cell r="H1798">
            <v>45148</v>
          </cell>
        </row>
        <row r="1798">
          <cell r="J1798" t="str">
            <v/>
          </cell>
        </row>
        <row r="1799">
          <cell r="C1799">
            <v>8010036522</v>
          </cell>
          <cell r="D1799" t="str">
            <v>给水用聚乙烯HDPE直管(2.5MPa)黑色 dn20 11.8M(IDN)</v>
          </cell>
          <cell r="E1799" t="str">
            <v>Pipa HDPE Polyethylene untuk Suplai Air (2.5 MPa) Warna Hitam dn20 11.8M(IDN)</v>
          </cell>
          <cell r="F1799">
            <v>1</v>
          </cell>
          <cell r="G1799">
            <v>98537</v>
          </cell>
          <cell r="H1799">
            <v>88773</v>
          </cell>
        </row>
        <row r="1799">
          <cell r="J1799" t="str">
            <v/>
          </cell>
        </row>
        <row r="1800">
          <cell r="C1800">
            <v>8010036523</v>
          </cell>
          <cell r="D1800" t="str">
            <v>给水用聚乙烯HDPE直管(2.5MPa)黑色 dn20 12M(IDN)</v>
          </cell>
          <cell r="E1800" t="str">
            <v>Pipa HDPE Polyethylene untuk Suplai Air (2.5 MPa) Warna Hitam dn20 12M(IDN)</v>
          </cell>
          <cell r="F1800">
            <v>1</v>
          </cell>
          <cell r="G1800">
            <v>100228</v>
          </cell>
          <cell r="H1800">
            <v>90296</v>
          </cell>
        </row>
        <row r="1800">
          <cell r="J1800" t="str">
            <v/>
          </cell>
        </row>
        <row r="1801">
          <cell r="C1801">
            <v>8010036524</v>
          </cell>
          <cell r="D1801" t="str">
            <v>给水用聚乙烯HDPE直管(1.25MPa)黑色 dn25 5.8M(IDN)</v>
          </cell>
          <cell r="E1801" t="str">
            <v>Pipa HDPE Polyethylene untuk Suplai Air (1.25 MPa) Warna Hitam dn25 5.8M(IDN)</v>
          </cell>
          <cell r="F1801">
            <v>1</v>
          </cell>
          <cell r="G1801">
            <v>41608</v>
          </cell>
          <cell r="H1801">
            <v>37485</v>
          </cell>
        </row>
        <row r="1801">
          <cell r="J1801" t="str">
            <v/>
          </cell>
        </row>
        <row r="1802">
          <cell r="C1802">
            <v>8010036525</v>
          </cell>
          <cell r="D1802" t="str">
            <v>给水用聚乙烯HDPE直管(1.25MPa)黑色 dn25 6M(IDN)</v>
          </cell>
          <cell r="E1802" t="str">
            <v>Pipa HDPE Polyethylene untuk Suplai Air (1.25 MPa) Warna Hitam dn25 6M(IDN)</v>
          </cell>
          <cell r="F1802">
            <v>1</v>
          </cell>
          <cell r="G1802">
            <v>43043</v>
          </cell>
          <cell r="H1802">
            <v>38778</v>
          </cell>
        </row>
        <row r="1802">
          <cell r="J1802" t="str">
            <v/>
          </cell>
        </row>
        <row r="1803">
          <cell r="C1803">
            <v>8010036526</v>
          </cell>
          <cell r="D1803" t="str">
            <v>给水用聚乙烯HDPE直管(1.25MPa)黑色 dn25 11.8M(IDN)</v>
          </cell>
          <cell r="E1803" t="str">
            <v>Pipa HDPE Polyethylene untuk Suplai Air (1.25 MPa) Warna Hitam dn25 5.11.8M(IDN)</v>
          </cell>
          <cell r="F1803">
            <v>1</v>
          </cell>
          <cell r="G1803">
            <v>84651</v>
          </cell>
          <cell r="H1803">
            <v>76263</v>
          </cell>
        </row>
        <row r="1803">
          <cell r="J1803" t="str">
            <v/>
          </cell>
        </row>
        <row r="1804">
          <cell r="C1804">
            <v>8010036527</v>
          </cell>
          <cell r="D1804" t="str">
            <v>给水用聚乙烯HDPE直管(1.25MPa)黑色 dn25 12M(IDN)</v>
          </cell>
          <cell r="E1804" t="str">
            <v>Pipa HDPE Polyethylene untuk Suplai Air (1.25 MPa) Warna Hitam dn25 12M(IDN)</v>
          </cell>
          <cell r="F1804">
            <v>1</v>
          </cell>
          <cell r="G1804">
            <v>86085</v>
          </cell>
          <cell r="H1804">
            <v>77555</v>
          </cell>
        </row>
        <row r="1804">
          <cell r="J1804" t="str">
            <v/>
          </cell>
        </row>
        <row r="1805">
          <cell r="C1805">
            <v>8010036532</v>
          </cell>
          <cell r="D1805" t="str">
            <v>给水用聚乙烯HDPE直管(2.0MPa)黑色 dn25 5.8M(IDN)</v>
          </cell>
          <cell r="E1805" t="str">
            <v>Pipa HDPE Polyethylene untuk Suplai Air (2.0 MPa) Warna Hitam dn25 5.8M(IDN)</v>
          </cell>
          <cell r="F1805">
            <v>1</v>
          </cell>
          <cell r="G1805">
            <v>62719</v>
          </cell>
          <cell r="H1805">
            <v>56504</v>
          </cell>
        </row>
        <row r="1805">
          <cell r="J1805" t="str">
            <v/>
          </cell>
        </row>
        <row r="1806">
          <cell r="C1806">
            <v>8010036533</v>
          </cell>
          <cell r="D1806" t="str">
            <v>给水用聚乙烯HDPE直管(2.0MPa)黑色 dn25 6M(IDN)</v>
          </cell>
          <cell r="E1806" t="str">
            <v>Pipa HDPE Polyethylene untuk Suplai Air (2.0 MPa) Warna Hitam dn25 6M(IDN)</v>
          </cell>
          <cell r="F1806">
            <v>1</v>
          </cell>
          <cell r="G1806">
            <v>64871</v>
          </cell>
          <cell r="H1806">
            <v>58443</v>
          </cell>
        </row>
        <row r="1806">
          <cell r="J1806" t="str">
            <v/>
          </cell>
        </row>
        <row r="1807">
          <cell r="C1807">
            <v>8010036534</v>
          </cell>
          <cell r="D1807" t="str">
            <v>给水用聚乙烯HDPE直管(2.0MPa)黑色 dn25 11.8M(IDN)</v>
          </cell>
          <cell r="E1807" t="str">
            <v>Pipa HDPE Polyethylene untuk Suplai Air (2.0 MPa) Warna Hitam dn25 11.8M(IDN)</v>
          </cell>
          <cell r="F1807">
            <v>1</v>
          </cell>
          <cell r="G1807">
            <v>127591</v>
          </cell>
          <cell r="H1807">
            <v>114947</v>
          </cell>
        </row>
        <row r="1807">
          <cell r="J1807" t="str">
            <v/>
          </cell>
        </row>
        <row r="1808">
          <cell r="C1808">
            <v>8010036535</v>
          </cell>
          <cell r="D1808" t="str">
            <v>给水用聚乙烯HDPE直管(2.0MPa)黑色 dn25 12M(IDN)</v>
          </cell>
          <cell r="E1808" t="str">
            <v>Pipa HDPE Polyethylene untuk Suplai Air (2.0 MPa) Warna Hitam dn25 12M(IDN)</v>
          </cell>
          <cell r="F1808">
            <v>1</v>
          </cell>
          <cell r="G1808">
            <v>129743</v>
          </cell>
          <cell r="H1808">
            <v>116886</v>
          </cell>
        </row>
        <row r="1808">
          <cell r="J1808" t="str">
            <v/>
          </cell>
        </row>
        <row r="1809">
          <cell r="C1809">
            <v>8010036536</v>
          </cell>
          <cell r="D1809" t="str">
            <v>给水用聚乙烯HDPE直管(2.5MPa)黑色 dn25 5.8M(IDN)</v>
          </cell>
          <cell r="E1809" t="str">
            <v>Pipa HDPE Polyethylene untuk Suplai Air (2.5 MPa) Warna Hitam dn25 5.8M(IDN)</v>
          </cell>
          <cell r="F1809">
            <v>1</v>
          </cell>
          <cell r="G1809">
            <v>71943</v>
          </cell>
          <cell r="H1809">
            <v>64814</v>
          </cell>
        </row>
        <row r="1809">
          <cell r="J1809" t="str">
            <v/>
          </cell>
        </row>
        <row r="1810">
          <cell r="C1810">
            <v>8010036537</v>
          </cell>
          <cell r="D1810" t="str">
            <v>给水用聚乙烯HDPE直管(2.5MPa)黑色 dn25 6M(IDN)</v>
          </cell>
          <cell r="E1810" t="str">
            <v>Pipa HDPE Polyethylene untuk Suplai Air (2.5 MPa) Warna Hitam dn25 6M(IDN)</v>
          </cell>
          <cell r="F1810">
            <v>1</v>
          </cell>
          <cell r="G1810">
            <v>74402</v>
          </cell>
          <cell r="H1810">
            <v>67029</v>
          </cell>
        </row>
        <row r="1810">
          <cell r="J1810" t="str">
            <v/>
          </cell>
        </row>
        <row r="1811">
          <cell r="C1811">
            <v>8010036538</v>
          </cell>
          <cell r="D1811" t="str">
            <v>给水用聚乙烯HDPE直管(2.5MPa)黑色 dn25 11.8M(IDN)</v>
          </cell>
          <cell r="E1811" t="str">
            <v>Pipa HDPE Polyethylene untuk Suplai Air (2.5 MPa) Warna Hitam dn25 11.8M(IDN)</v>
          </cell>
          <cell r="F1811">
            <v>1</v>
          </cell>
          <cell r="G1811">
            <v>146345</v>
          </cell>
          <cell r="H1811">
            <v>131843</v>
          </cell>
        </row>
        <row r="1811">
          <cell r="J1811" t="str">
            <v/>
          </cell>
        </row>
        <row r="1812">
          <cell r="C1812">
            <v>8010036539</v>
          </cell>
          <cell r="D1812" t="str">
            <v>给水用聚乙烯HDPE直管(2.5MPa)黑色 dn25 12M(IDN)</v>
          </cell>
          <cell r="E1812" t="str">
            <v>Pipa HDPE Polyethylene untuk Suplai Air (2.5 MPa) Warna Hitam dn25 12M(IDN)</v>
          </cell>
          <cell r="F1812">
            <v>1</v>
          </cell>
          <cell r="G1812">
            <v>148805</v>
          </cell>
          <cell r="H1812">
            <v>134059</v>
          </cell>
        </row>
        <row r="1812">
          <cell r="J1812" t="str">
            <v/>
          </cell>
        </row>
        <row r="1813">
          <cell r="C1813">
            <v>8010036544</v>
          </cell>
          <cell r="D1813" t="str">
            <v>给水用聚乙烯HDPE直管(1.25MPa)黑色 dn32 5.8M(IDN)</v>
          </cell>
          <cell r="E1813" t="str">
            <v>Pipa HDPE Polyethylene untuk Suplai Air (1.25 MPa) Warna Hitam dn32 5.8M(IDN)</v>
          </cell>
          <cell r="F1813">
            <v>1</v>
          </cell>
          <cell r="G1813">
            <v>68356</v>
          </cell>
          <cell r="H1813">
            <v>61582</v>
          </cell>
        </row>
        <row r="1813">
          <cell r="J1813" t="str">
            <v/>
          </cell>
        </row>
        <row r="1814">
          <cell r="C1814">
            <v>8010036545</v>
          </cell>
          <cell r="D1814" t="str">
            <v>给水用聚乙烯HDPE直管(1.25MPa)黑色 dn32 6M(IDN)</v>
          </cell>
          <cell r="E1814" t="str">
            <v>Pipa HDPE Polyethylene untuk Suplai Air (1.25 MPa) Warna Hitam dn32 6M(IDN)</v>
          </cell>
          <cell r="F1814">
            <v>1</v>
          </cell>
          <cell r="G1814">
            <v>70713</v>
          </cell>
          <cell r="H1814">
            <v>63706</v>
          </cell>
        </row>
        <row r="1814">
          <cell r="J1814" t="str">
            <v/>
          </cell>
        </row>
        <row r="1815">
          <cell r="C1815">
            <v>8010036546</v>
          </cell>
          <cell r="D1815" t="str">
            <v>给水用聚乙烯HDPE直管(1.25MPa)黑色 DN32 11.8M(IDN)</v>
          </cell>
          <cell r="E1815" t="str">
            <v>Pipa HDPE Polyethylene untuk Suplai Air (1.25 MPa) Warna Hitam dn32 5.11.8M(IDN)</v>
          </cell>
          <cell r="F1815">
            <v>1</v>
          </cell>
          <cell r="G1815">
            <v>139069</v>
          </cell>
          <cell r="H1815">
            <v>125288</v>
          </cell>
        </row>
        <row r="1815">
          <cell r="J1815" t="str">
            <v/>
          </cell>
        </row>
        <row r="1816">
          <cell r="C1816">
            <v>8010036547</v>
          </cell>
          <cell r="D1816" t="str">
            <v>给水用聚乙烯HDPE直管(1.25MPa)黑色 DN32 12M(IDN)</v>
          </cell>
          <cell r="E1816" t="str">
            <v>Pipa HDPE Polyethylene untuk Suplai Air (1.25 MPa) Warna Hitam dn32 12M(IDN)</v>
          </cell>
          <cell r="F1816">
            <v>1</v>
          </cell>
          <cell r="G1816">
            <v>141426</v>
          </cell>
          <cell r="H1816">
            <v>127411</v>
          </cell>
        </row>
        <row r="1816">
          <cell r="J1816" t="str">
            <v/>
          </cell>
        </row>
        <row r="1817">
          <cell r="C1817">
            <v>8010036552</v>
          </cell>
          <cell r="D1817" t="str">
            <v>给水用聚乙烯HDPE直管(2.0MPa)黑色 dn32 5.8M(IDN)</v>
          </cell>
          <cell r="E1817" t="str">
            <v>Pipa HDPE Polyethylene untuk Suplai Air (2.0 MPa) Warna Hitam dn32 5.8M(IDN)</v>
          </cell>
          <cell r="F1817">
            <v>1</v>
          </cell>
          <cell r="G1817">
            <v>97461</v>
          </cell>
          <cell r="H1817">
            <v>87803</v>
          </cell>
        </row>
        <row r="1817">
          <cell r="J1817" t="str">
            <v/>
          </cell>
        </row>
        <row r="1818">
          <cell r="C1818">
            <v>8010036553</v>
          </cell>
          <cell r="D1818" t="str">
            <v>给水用聚乙烯HDPE直管(2.0MPa)黑色 dn32 6M(IDN)</v>
          </cell>
          <cell r="E1818" t="str">
            <v>Pipa HDPE Polyethylene untuk Suplai Air (2.0 MPa) Warna Hitam dn32 6M(IDN)</v>
          </cell>
          <cell r="F1818">
            <v>1</v>
          </cell>
          <cell r="G1818">
            <v>100843</v>
          </cell>
          <cell r="H1818">
            <v>90850</v>
          </cell>
        </row>
        <row r="1818">
          <cell r="J1818" t="str">
            <v/>
          </cell>
        </row>
        <row r="1819">
          <cell r="C1819">
            <v>8010036554</v>
          </cell>
          <cell r="D1819" t="str">
            <v>给水用聚乙烯HDPE直管(2.0MPa)黑色 dn32 11.8M(IDN)</v>
          </cell>
          <cell r="E1819" t="str">
            <v>Pipa HDPE Polyethylene untuk Suplai Air (2.0 MPa) Warna Hitam dn32 11.8M(IDN)</v>
          </cell>
          <cell r="F1819">
            <v>1</v>
          </cell>
          <cell r="G1819">
            <v>198304</v>
          </cell>
          <cell r="H1819">
            <v>178653</v>
          </cell>
        </row>
        <row r="1819">
          <cell r="J1819" t="str">
            <v/>
          </cell>
        </row>
        <row r="1820">
          <cell r="C1820">
            <v>8010036555</v>
          </cell>
          <cell r="D1820" t="str">
            <v>给水用聚乙烯HDPE直管(2.0MPa)黑色 dn32 12M(IDN)</v>
          </cell>
          <cell r="E1820" t="str">
            <v>Pipa HDPE Polyethylene untuk Suplai Air (2.0 MPa) Warna Hitam dn32 12M(IDN)</v>
          </cell>
          <cell r="F1820">
            <v>1</v>
          </cell>
          <cell r="G1820">
            <v>201686</v>
          </cell>
          <cell r="H1820">
            <v>181700</v>
          </cell>
        </row>
        <row r="1820">
          <cell r="J1820" t="str">
            <v/>
          </cell>
        </row>
        <row r="1821">
          <cell r="C1821">
            <v>8010036556</v>
          </cell>
          <cell r="D1821" t="str">
            <v>给水用聚乙烯HDPE直管(2.5MPa)黑色 dn32 5.8M(IDN)</v>
          </cell>
          <cell r="E1821" t="str">
            <v>Pipa HDPE Polyethylene untuk Suplai Air (2.5 MPa) Warna Hitam dn32 5.8M(IDN)</v>
          </cell>
          <cell r="F1821">
            <v>1</v>
          </cell>
          <cell r="G1821">
            <v>115293</v>
          </cell>
          <cell r="H1821">
            <v>103868</v>
          </cell>
        </row>
        <row r="1821">
          <cell r="J1821" t="str">
            <v/>
          </cell>
        </row>
        <row r="1822">
          <cell r="C1822">
            <v>8010036557</v>
          </cell>
          <cell r="D1822" t="str">
            <v>给水用聚乙烯HDPE直管(2.5MPa)黑色 dn32 6M(IDN)</v>
          </cell>
          <cell r="E1822" t="str">
            <v>Pipa HDPE Polyethylene untuk Suplai Air (2.5 MPa) Warna Hitam dn32 6M(IDN)</v>
          </cell>
          <cell r="F1822">
            <v>1</v>
          </cell>
          <cell r="G1822">
            <v>119290</v>
          </cell>
          <cell r="H1822">
            <v>107469</v>
          </cell>
        </row>
        <row r="1822">
          <cell r="J1822" t="str">
            <v/>
          </cell>
        </row>
        <row r="1823">
          <cell r="C1823">
            <v>8010036558</v>
          </cell>
          <cell r="D1823" t="str">
            <v>给水用聚乙烯HDPE直管(2.5MPa)黑色 dn32 11.8M(IDN)</v>
          </cell>
          <cell r="E1823" t="str">
            <v>Pipa HDPE Polyethylene untuk Suplai Air (2.5 MPa) Warna Hitam dn32 5.11.8M(IDN)</v>
          </cell>
          <cell r="F1823">
            <v>1</v>
          </cell>
          <cell r="G1823">
            <v>234583</v>
          </cell>
          <cell r="H1823">
            <v>211337</v>
          </cell>
        </row>
        <row r="1823">
          <cell r="J1823" t="str">
            <v/>
          </cell>
        </row>
        <row r="1824">
          <cell r="C1824">
            <v>8010036559</v>
          </cell>
          <cell r="D1824" t="str">
            <v>给水用聚乙烯HDPE直管(2.5MPa)黑色 dn32 12M(IDN)</v>
          </cell>
          <cell r="E1824" t="str">
            <v>Pipa HDPE Polyethylene untuk Suplai Air (2.5 MPa) Warna Hitam dn32 12M(IDN)</v>
          </cell>
          <cell r="F1824">
            <v>1</v>
          </cell>
          <cell r="G1824">
            <v>238580</v>
          </cell>
          <cell r="H1824">
            <v>214937</v>
          </cell>
        </row>
        <row r="1824">
          <cell r="J1824" t="str">
            <v/>
          </cell>
        </row>
        <row r="1825">
          <cell r="C1825">
            <v>8010036564</v>
          </cell>
          <cell r="D1825" t="str">
            <v>给水用聚乙烯HDPE直管(1.25MPa)黑色 dn40 6M(IDN)</v>
          </cell>
          <cell r="E1825" t="str">
            <v>Pipa HDPE Polyethylene untuk Suplai Air (1.25 MPa) Warna Hitam dn40 6M(IDN)</v>
          </cell>
          <cell r="F1825">
            <v>1</v>
          </cell>
          <cell r="G1825">
            <v>108837</v>
          </cell>
          <cell r="H1825">
            <v>98052</v>
          </cell>
        </row>
        <row r="1825">
          <cell r="J1825" t="str">
            <v/>
          </cell>
        </row>
        <row r="1826">
          <cell r="C1826">
            <v>8010036565</v>
          </cell>
          <cell r="D1826" t="str">
            <v>给水用聚乙烯HDPE直管(1.25MPa)黑色 dn40 5.8M(IDN)</v>
          </cell>
          <cell r="E1826" t="str">
            <v>Pipa HDPE Polyethylene untuk Suplai Air (1.25 MPa) Warna Hitam dn40 5.8M(IDN)</v>
          </cell>
          <cell r="F1826">
            <v>1</v>
          </cell>
          <cell r="G1826">
            <v>105198</v>
          </cell>
          <cell r="H1826">
            <v>94773</v>
          </cell>
        </row>
        <row r="1826">
          <cell r="J1826" t="str">
            <v/>
          </cell>
        </row>
        <row r="1827">
          <cell r="C1827">
            <v>8010036566</v>
          </cell>
          <cell r="D1827" t="str">
            <v>给水用聚乙烯HDPE直管(1.25MPa)黑色 dn40 11.8M(IDN)</v>
          </cell>
          <cell r="E1827" t="str">
            <v>Pipa HDPE Polyethylene untuk Suplai Air (1.25 MPa) Warna Hitam dn40 11.8M(IDN)</v>
          </cell>
          <cell r="F1827">
            <v>1</v>
          </cell>
          <cell r="G1827">
            <v>214035</v>
          </cell>
          <cell r="H1827">
            <v>192825</v>
          </cell>
        </row>
        <row r="1827">
          <cell r="J1827" t="str">
            <v/>
          </cell>
        </row>
        <row r="1828">
          <cell r="C1828">
            <v>8010036567</v>
          </cell>
          <cell r="D1828" t="str">
            <v>给水用聚乙烯HDPE直管(1.25MPa)黑色 dn40 12M(IDN)</v>
          </cell>
          <cell r="E1828" t="str">
            <v>Pipa HDPE Polyethylene untuk Suplai Air (1.25 MPa) Warna Hitam dn40 12M(IDN)</v>
          </cell>
          <cell r="F1828">
            <v>1</v>
          </cell>
          <cell r="G1828">
            <v>217673</v>
          </cell>
          <cell r="H1828">
            <v>196102</v>
          </cell>
        </row>
        <row r="1828">
          <cell r="J1828" t="str">
            <v/>
          </cell>
        </row>
        <row r="1829">
          <cell r="C1829">
            <v>8010036572</v>
          </cell>
          <cell r="D1829" t="str">
            <v>给水用聚乙烯HDPE直管(2.0MPa)黑色 dn40 5.8M(IDN)</v>
          </cell>
          <cell r="E1829" t="str">
            <v>Pipa HDPE Polyethylene untuk Suplai Air (2.0 MPa) Warna Hitam dn40 5.8M(IDN)</v>
          </cell>
          <cell r="F1829">
            <v>1</v>
          </cell>
          <cell r="G1829">
            <v>151879</v>
          </cell>
          <cell r="H1829">
            <v>136828</v>
          </cell>
        </row>
        <row r="1829">
          <cell r="J1829" t="str">
            <v/>
          </cell>
        </row>
        <row r="1830">
          <cell r="C1830">
            <v>8010036573</v>
          </cell>
          <cell r="D1830" t="str">
            <v>给水用聚乙烯HDPE直管(2.0MPa)黑色 dn40 6M(IDN)</v>
          </cell>
          <cell r="E1830" t="str">
            <v>Pipa HDPE Polyethylene untuk Suplai Air (2.0 MPa) Warna Hitam dn40 6M(IDN)</v>
          </cell>
          <cell r="F1830">
            <v>1</v>
          </cell>
          <cell r="G1830">
            <v>157106</v>
          </cell>
          <cell r="H1830">
            <v>141537</v>
          </cell>
        </row>
        <row r="1830">
          <cell r="J1830" t="str">
            <v/>
          </cell>
        </row>
        <row r="1831">
          <cell r="C1831">
            <v>8010036574</v>
          </cell>
          <cell r="D1831" t="str">
            <v>给水用聚乙烯HDPE直管(2.0MPa)黑色 dn40 11.8M(IDN)</v>
          </cell>
          <cell r="E1831" t="str">
            <v>Pipa HDPE Polyethylene untuk Suplai Air (2.0 MPa) Warna Hitam dn40 11.8M(IDN)</v>
          </cell>
          <cell r="F1831">
            <v>1</v>
          </cell>
          <cell r="G1831">
            <v>308986</v>
          </cell>
          <cell r="H1831">
            <v>278366</v>
          </cell>
        </row>
        <row r="1831">
          <cell r="J1831" t="str">
            <v/>
          </cell>
        </row>
        <row r="1832">
          <cell r="C1832">
            <v>8010036575</v>
          </cell>
          <cell r="D1832" t="str">
            <v>给水用聚乙烯HDPE直管(2.0MPa)黑色 dn40 12M(IDN)</v>
          </cell>
          <cell r="E1832" t="str">
            <v>Pipa HDPE Polyethylene untuk Suplai Air (2.0 MPa) Warna Hitam dn40 12M(IDN)</v>
          </cell>
          <cell r="F1832">
            <v>1</v>
          </cell>
          <cell r="G1832">
            <v>314212</v>
          </cell>
          <cell r="H1832">
            <v>283074</v>
          </cell>
        </row>
        <row r="1832">
          <cell r="J1832" t="str">
            <v/>
          </cell>
        </row>
        <row r="1833">
          <cell r="C1833">
            <v>8010036576</v>
          </cell>
          <cell r="D1833" t="str">
            <v>给水用聚乙烯HDPE直管(2.5MPa)黑色 dn40 5.8M(IDN)</v>
          </cell>
          <cell r="E1833" t="str">
            <v>Pipa HDPE Polyethylene untuk Suplai Air (2.5 MPa) Warna Hitam dn40 5.8M(IDN)</v>
          </cell>
          <cell r="F1833">
            <v>1</v>
          </cell>
          <cell r="G1833">
            <v>179499</v>
          </cell>
          <cell r="H1833">
            <v>161711</v>
          </cell>
        </row>
        <row r="1833">
          <cell r="J1833" t="str">
            <v/>
          </cell>
        </row>
        <row r="1834">
          <cell r="C1834">
            <v>8010036577</v>
          </cell>
          <cell r="D1834" t="str">
            <v>给水用聚乙烯HDPE直管(2.5MPa)黑色 dn40 6M(IDN)</v>
          </cell>
          <cell r="E1834" t="str">
            <v>Pipa HDPE Polyethylene untuk Suplai Air (2.5 MPa) Warna Hitam dn40 6M(IDN)</v>
          </cell>
          <cell r="F1834">
            <v>1</v>
          </cell>
          <cell r="G1834">
            <v>185699</v>
          </cell>
          <cell r="H1834">
            <v>167297</v>
          </cell>
        </row>
        <row r="1834">
          <cell r="J1834" t="str">
            <v/>
          </cell>
        </row>
        <row r="1835">
          <cell r="C1835">
            <v>8010036578</v>
          </cell>
          <cell r="D1835" t="str">
            <v>给水用聚乙烯HDPE直管(2.5MPa)黑色 dn40 11.8M(IDN)</v>
          </cell>
          <cell r="E1835" t="str">
            <v>Pipa HDPE Polyethylene untuk Suplai Air (2.5 MPa) Warna Hitam dn40 11.8M(IDN)</v>
          </cell>
          <cell r="F1835">
            <v>1</v>
          </cell>
          <cell r="G1835">
            <v>365197</v>
          </cell>
          <cell r="H1835">
            <v>329007</v>
          </cell>
        </row>
        <row r="1835">
          <cell r="J1835" t="str">
            <v/>
          </cell>
        </row>
        <row r="1836">
          <cell r="C1836">
            <v>8010036579</v>
          </cell>
          <cell r="D1836" t="str">
            <v>给水用聚乙烯HDPE直管(2.5MPa)黑色 dn40 12M(IDN)</v>
          </cell>
          <cell r="E1836" t="str">
            <v>Pipa HDPE Polyethylene untuk Suplai Air (2.5 MPa) Warna Hitam dn40 12M(IDN)</v>
          </cell>
          <cell r="F1836">
            <v>1</v>
          </cell>
          <cell r="G1836">
            <v>371398</v>
          </cell>
          <cell r="H1836">
            <v>334593</v>
          </cell>
        </row>
        <row r="1836">
          <cell r="J1836" t="str">
            <v/>
          </cell>
        </row>
        <row r="1837">
          <cell r="C1837">
            <v>8010036584</v>
          </cell>
          <cell r="D1837" t="str">
            <v>给水用聚乙烯HDPE直管(1.25MPa)黑色 dn50 5.8M(IDN)</v>
          </cell>
          <cell r="E1837" t="str">
            <v>Pipa HDPE Polyethylene untuk Suplai Air (1.25 MPa) Warna Hitam dn50 5.8M(IDN)</v>
          </cell>
          <cell r="F1837">
            <v>1</v>
          </cell>
          <cell r="G1837">
            <v>160488</v>
          </cell>
          <cell r="H1837">
            <v>144584</v>
          </cell>
        </row>
        <row r="1837">
          <cell r="J1837" t="str">
            <v/>
          </cell>
        </row>
        <row r="1838">
          <cell r="C1838">
            <v>8010036585</v>
          </cell>
          <cell r="D1838" t="str">
            <v>给水用聚乙烯HDPE直管(1.25MPa)黑色 dn50 6M(IDN)</v>
          </cell>
          <cell r="E1838" t="str">
            <v>Pipa HDPE Polyethylene untuk Suplai Air (1.25 MPa) Warna Hitam dn50 6M(IDN)</v>
          </cell>
          <cell r="F1838">
            <v>1</v>
          </cell>
          <cell r="G1838">
            <v>166022</v>
          </cell>
          <cell r="H1838">
            <v>149570</v>
          </cell>
        </row>
        <row r="1838">
          <cell r="J1838" t="str">
            <v/>
          </cell>
        </row>
        <row r="1839">
          <cell r="C1839">
            <v>8010036586</v>
          </cell>
          <cell r="D1839" t="str">
            <v>给水用聚乙烯HDPE直管(1.25MPa)黑色 dn50 11.8M(IDN)</v>
          </cell>
          <cell r="E1839" t="str">
            <v>Pipa HDPE Polyethylene untuk Suplai Air (1.25 MPa) Warna Hitam dn50 11.8M(IDN)</v>
          </cell>
          <cell r="F1839">
            <v>1</v>
          </cell>
          <cell r="G1839">
            <v>326510</v>
          </cell>
          <cell r="H1839">
            <v>294154</v>
          </cell>
        </row>
        <row r="1839">
          <cell r="J1839" t="str">
            <v/>
          </cell>
        </row>
        <row r="1840">
          <cell r="C1840">
            <v>8010036587</v>
          </cell>
          <cell r="D1840" t="str">
            <v>给水用聚乙烯HDPE直管(1.25MPa)黑色 dn50 12M(IDN)</v>
          </cell>
          <cell r="E1840" t="str">
            <v>Pipa HDPE Polyethylene untuk Suplai Air (1.25 MPa) Warna Hitam dn50 12M(IDN)</v>
          </cell>
          <cell r="F1840">
            <v>1</v>
          </cell>
          <cell r="G1840">
            <v>332044</v>
          </cell>
          <cell r="H1840">
            <v>299139</v>
          </cell>
        </row>
        <row r="1840">
          <cell r="J1840" t="str">
            <v/>
          </cell>
        </row>
        <row r="1841">
          <cell r="C1841">
            <v>8010036592</v>
          </cell>
          <cell r="D1841" t="str">
            <v>给水用聚乙烯HDPE直管(2.0MPa)黑色 dn50 5.8M(IDN)</v>
          </cell>
          <cell r="E1841" t="str">
            <v>Pipa HDPE Polyethylene untuk Suplai Air (2.0 MPa) Warna Hitam dn50 5.8M(IDN)</v>
          </cell>
          <cell r="F1841">
            <v>1</v>
          </cell>
          <cell r="G1841">
            <v>235659</v>
          </cell>
          <cell r="H1841">
            <v>212306</v>
          </cell>
        </row>
        <row r="1841">
          <cell r="J1841" t="str">
            <v/>
          </cell>
        </row>
        <row r="1842">
          <cell r="C1842">
            <v>8010036593</v>
          </cell>
          <cell r="D1842" t="str">
            <v>给水用聚乙烯HDPE直管(2.0MPa)黑色 dn50 6M(IDN)</v>
          </cell>
          <cell r="E1842" t="str">
            <v>Pipa HDPE Polyethylene untuk Suplai Air (2.0 MPa) Warna Hitam dn50 6M(IDN)</v>
          </cell>
          <cell r="F1842">
            <v>1</v>
          </cell>
          <cell r="G1842">
            <v>243807</v>
          </cell>
          <cell r="H1842">
            <v>219646</v>
          </cell>
        </row>
        <row r="1842">
          <cell r="J1842" t="str">
            <v/>
          </cell>
        </row>
        <row r="1843">
          <cell r="C1843">
            <v>8010036594</v>
          </cell>
          <cell r="D1843" t="str">
            <v>给水用聚乙烯HDPE直管(2.0MPa)黑色 dn50 11.8M(IDN)</v>
          </cell>
          <cell r="E1843" t="str">
            <v>Pipa HDPE Polyethylene untuk Suplai Air (2.0 MPa) Warna Hitam dn50 11.8M(IDN)</v>
          </cell>
          <cell r="F1843">
            <v>1</v>
          </cell>
          <cell r="G1843">
            <v>479466</v>
          </cell>
          <cell r="H1843">
            <v>431952</v>
          </cell>
        </row>
        <row r="1843">
          <cell r="J1843" t="str">
            <v/>
          </cell>
        </row>
        <row r="1844">
          <cell r="C1844">
            <v>8010036595</v>
          </cell>
          <cell r="D1844" t="str">
            <v>给水用聚乙烯HDPE直管(2.0MPa)黑色 dn50 12M(IDN)</v>
          </cell>
          <cell r="E1844" t="str">
            <v>Pipa HDPE Polyethylene untuk Suplai Air (2.0 MPa) Warna Hitam dn50 12M(IDN)</v>
          </cell>
          <cell r="F1844">
            <v>1</v>
          </cell>
          <cell r="G1844">
            <v>487613</v>
          </cell>
          <cell r="H1844">
            <v>439291</v>
          </cell>
        </row>
        <row r="1844">
          <cell r="J1844" t="str">
            <v/>
          </cell>
        </row>
        <row r="1845">
          <cell r="C1845">
            <v>8010036596</v>
          </cell>
          <cell r="D1845" t="str">
            <v>给水用聚乙烯HDPE直管(2.5MPa)黑色 dn50 5.8M(IDN)</v>
          </cell>
          <cell r="E1845" t="str">
            <v>Pipa HDPE Polyethylene untuk Suplai Air (2.5 MPa) Warna Hitam dn50 5.8M(IDN)</v>
          </cell>
          <cell r="F1845">
            <v>1</v>
          </cell>
          <cell r="G1845">
            <v>280239</v>
          </cell>
          <cell r="H1845">
            <v>252468</v>
          </cell>
        </row>
        <row r="1845">
          <cell r="J1845" t="str">
            <v/>
          </cell>
        </row>
        <row r="1846">
          <cell r="C1846">
            <v>8010036597</v>
          </cell>
          <cell r="D1846" t="str">
            <v>给水用聚乙烯HDPE直管(2.5MPa)黑色 dn50 6M(IDN)</v>
          </cell>
          <cell r="E1846" t="str">
            <v>Pipa HDPE Polyethylene untuk Suplai Air (2.5 MPa) Warna Hitam dn50 6M(IDN)</v>
          </cell>
          <cell r="F1846">
            <v>1</v>
          </cell>
          <cell r="G1846">
            <v>289924</v>
          </cell>
          <cell r="H1846">
            <v>261193</v>
          </cell>
        </row>
        <row r="1846">
          <cell r="J1846" t="str">
            <v/>
          </cell>
        </row>
        <row r="1847">
          <cell r="C1847">
            <v>8010036598</v>
          </cell>
          <cell r="D1847" t="str">
            <v>给水用聚乙烯HDPE直管(2.5MPa)黑色 dn50 11.8M(IDN)</v>
          </cell>
          <cell r="E1847" t="str">
            <v>Pipa HDPE Polyethylene untuk Suplai Air (2.5 MPa) Warna Hitam dn50 11.8M(IDN)</v>
          </cell>
          <cell r="F1847">
            <v>1</v>
          </cell>
          <cell r="G1847">
            <v>570163</v>
          </cell>
          <cell r="H1847">
            <v>513661</v>
          </cell>
        </row>
        <row r="1847">
          <cell r="J1847" t="str">
            <v/>
          </cell>
        </row>
        <row r="1848">
          <cell r="C1848">
            <v>8010036599</v>
          </cell>
          <cell r="D1848" t="str">
            <v>给水用聚乙烯HDPE直管(2.5MPa)黑色 dn50 12M(IDN)</v>
          </cell>
          <cell r="E1848" t="str">
            <v>Pipa HDPE Polyethylene untuk Suplai Air (2.5 MPa) Warna Hitam dn50 12M(IDN)</v>
          </cell>
          <cell r="F1848">
            <v>1</v>
          </cell>
          <cell r="G1848">
            <v>579848</v>
          </cell>
          <cell r="H1848">
            <v>522386</v>
          </cell>
        </row>
        <row r="1848">
          <cell r="J1848" t="str">
            <v/>
          </cell>
        </row>
        <row r="1849">
          <cell r="C1849">
            <v>8010036604</v>
          </cell>
          <cell r="D1849" t="str">
            <v>给水用聚乙烯HDPE直管(1.25MPa)黑色 dn63 5.8M(IDN)</v>
          </cell>
          <cell r="E1849" t="str">
            <v>Pipa HDPE Polyethylene untuk Suplai Air (1.25 MPa) Warna Hitam dn63 5.8M(IDN)</v>
          </cell>
          <cell r="F1849">
            <v>1</v>
          </cell>
          <cell r="G1849">
            <v>254721</v>
          </cell>
          <cell r="H1849">
            <v>229479</v>
          </cell>
        </row>
        <row r="1849">
          <cell r="J1849" t="str">
            <v/>
          </cell>
        </row>
        <row r="1850">
          <cell r="C1850">
            <v>8010036605</v>
          </cell>
          <cell r="D1850" t="str">
            <v>给水用聚乙烯HDPE直管(1.25MPa)黑色 dn63 6M(IDN)</v>
          </cell>
          <cell r="E1850" t="str">
            <v>Pipa HDPE Polyethylene untuk Suplai Air (1.25 MPa) Warna Hitam dn63 6M(IDN)</v>
          </cell>
          <cell r="F1850">
            <v>1</v>
          </cell>
          <cell r="G1850">
            <v>263483</v>
          </cell>
          <cell r="H1850">
            <v>237373</v>
          </cell>
        </row>
        <row r="1850">
          <cell r="J1850" t="str">
            <v/>
          </cell>
        </row>
        <row r="1851">
          <cell r="C1851">
            <v>8010036606</v>
          </cell>
          <cell r="D1851" t="str">
            <v>给水用聚乙烯HDPE直管(1.25MPa)黑色 dn63 11.8M(IDN)</v>
          </cell>
          <cell r="E1851" t="str">
            <v>Pipa HDPE Polyethylene untuk Suplai Air (1.25 MPa) Warna Hitam dn63 11.8M(IDN)</v>
          </cell>
          <cell r="F1851">
            <v>1</v>
          </cell>
          <cell r="G1851">
            <v>518204</v>
          </cell>
          <cell r="H1851">
            <v>466851</v>
          </cell>
        </row>
        <row r="1851">
          <cell r="J1851" t="str">
            <v/>
          </cell>
        </row>
        <row r="1852">
          <cell r="C1852">
            <v>8010036607</v>
          </cell>
          <cell r="D1852" t="str">
            <v>给水用聚乙烯HDPE直管(1.25MPa)黑色 dn63 12M(IDN)</v>
          </cell>
          <cell r="E1852" t="str">
            <v>Pipa HDPE Polyethylene untuk Suplai Air (1.25 MPa) Warna Hitam dn63 12M(IDN)</v>
          </cell>
          <cell r="F1852">
            <v>1</v>
          </cell>
          <cell r="G1852">
            <v>526967</v>
          </cell>
          <cell r="H1852">
            <v>474746</v>
          </cell>
        </row>
        <row r="1852">
          <cell r="J1852" t="str">
            <v/>
          </cell>
        </row>
        <row r="1853">
          <cell r="C1853">
            <v>8010036612</v>
          </cell>
          <cell r="D1853" t="str">
            <v>给水用聚乙烯HDPE直管(2.0MPa)黑色 dn63 5.8M(IDN)</v>
          </cell>
          <cell r="E1853" t="str">
            <v>Pipa HDPE Polyethylene untuk Suplai Air (2.0 MPa) Warna Hitam dn63 5.8M(IDN)</v>
          </cell>
          <cell r="F1853">
            <v>1</v>
          </cell>
          <cell r="G1853">
            <v>375958</v>
          </cell>
          <cell r="H1853">
            <v>338701</v>
          </cell>
        </row>
        <row r="1853">
          <cell r="J1853" t="str">
            <v/>
          </cell>
        </row>
        <row r="1854">
          <cell r="C1854">
            <v>8010036613</v>
          </cell>
          <cell r="D1854" t="str">
            <v>给水用聚乙烯HDPE直管(2.0MPa)黑色 dn63 6M(IDN)</v>
          </cell>
          <cell r="E1854" t="str">
            <v>Pipa HDPE Polyethylene untuk Suplai Air (2.0 MPa) Warna Hitam dn63 6M(IDN)</v>
          </cell>
          <cell r="F1854">
            <v>1</v>
          </cell>
          <cell r="G1854">
            <v>388922</v>
          </cell>
          <cell r="H1854">
            <v>350381</v>
          </cell>
        </row>
        <row r="1854">
          <cell r="J1854" t="str">
            <v/>
          </cell>
        </row>
        <row r="1855">
          <cell r="C1855">
            <v>8010036614</v>
          </cell>
          <cell r="D1855" t="str">
            <v>给水用聚乙烯HDPE直管(2.0MPa)黑色 dn63 11.8M(IDN)</v>
          </cell>
          <cell r="E1855" t="str">
            <v>Pipa HDPE Polyethylene untuk Suplai Air (2.0 MPa) Warna Hitam dn63 11.8M(IDN)</v>
          </cell>
          <cell r="F1855">
            <v>1</v>
          </cell>
          <cell r="G1855">
            <v>764881</v>
          </cell>
          <cell r="H1855">
            <v>689082</v>
          </cell>
        </row>
        <row r="1855">
          <cell r="J1855" t="str">
            <v/>
          </cell>
        </row>
        <row r="1856">
          <cell r="C1856">
            <v>8010036615</v>
          </cell>
          <cell r="D1856" t="str">
            <v>给水用聚乙烯HDPE直管(2.0MPa)黑色 dn63 12M(IDN)</v>
          </cell>
          <cell r="E1856" t="str">
            <v>Pipa HDPE Polyethylene untuk Suplai Air (2.0 MPa) Warna Hitam dn63 12M(IDN)</v>
          </cell>
          <cell r="F1856">
            <v>1</v>
          </cell>
          <cell r="G1856">
            <v>777845</v>
          </cell>
          <cell r="H1856">
            <v>700762</v>
          </cell>
        </row>
        <row r="1856">
          <cell r="J1856" t="str">
            <v/>
          </cell>
        </row>
        <row r="1857">
          <cell r="C1857">
            <v>8010036616</v>
          </cell>
          <cell r="D1857" t="str">
            <v>给水用聚乙烯HDPE直管(2.5MPa)黑色 dn63 5.8M(IDN)</v>
          </cell>
          <cell r="E1857" t="str">
            <v>Pipa HDPE Polyethylene untuk Suplai Air (2.5 MPa) Warna Hitam dn63 5.8M(IDN)</v>
          </cell>
          <cell r="F1857">
            <v>1</v>
          </cell>
          <cell r="G1857">
            <v>440471</v>
          </cell>
          <cell r="H1857">
            <v>396821</v>
          </cell>
        </row>
        <row r="1857">
          <cell r="J1857" t="str">
            <v/>
          </cell>
        </row>
        <row r="1858">
          <cell r="C1858">
            <v>8010036617</v>
          </cell>
          <cell r="D1858" t="str">
            <v>给水用聚乙烯HDPE直管(2.5MPa)黑色 dn63 6M(IDN)</v>
          </cell>
          <cell r="E1858" t="str">
            <v>Pipa HDPE Polyethylene untuk Suplai Air (2.5 MPa) Warna Hitam dn63 6M(IDN)</v>
          </cell>
          <cell r="F1858">
            <v>1</v>
          </cell>
          <cell r="G1858">
            <v>455639</v>
          </cell>
          <cell r="H1858">
            <v>410486</v>
          </cell>
        </row>
        <row r="1858">
          <cell r="J1858" t="str">
            <v/>
          </cell>
        </row>
        <row r="1859">
          <cell r="C1859">
            <v>8010036618</v>
          </cell>
          <cell r="D1859" t="str">
            <v>给水用聚乙烯HDPE直管(2.5MPa)黑色 dn63 11.8M(IDN)</v>
          </cell>
          <cell r="E1859" t="str">
            <v>Pipa HDPE Polyethylene untuk Suplai Air (2.5 MPa) Warna Hitam dn63 11.8M(IDN)</v>
          </cell>
          <cell r="F1859">
            <v>1</v>
          </cell>
          <cell r="G1859">
            <v>896110</v>
          </cell>
          <cell r="H1859">
            <v>807307</v>
          </cell>
        </row>
        <row r="1859">
          <cell r="J1859" t="str">
            <v/>
          </cell>
        </row>
        <row r="1860">
          <cell r="C1860">
            <v>8010036619</v>
          </cell>
          <cell r="D1860" t="str">
            <v>给水用聚乙烯HDPE直管(2.5MPa)黑色 dn63 12M(IDN)</v>
          </cell>
          <cell r="E1860" t="str">
            <v>Pipa HDPE Polyethylene untuk Suplai Air (2.5 MPa) Warna Hitam dn63 12M(IDN)</v>
          </cell>
          <cell r="F1860">
            <v>1</v>
          </cell>
          <cell r="G1860">
            <v>911277</v>
          </cell>
          <cell r="H1860">
            <v>820971</v>
          </cell>
        </row>
        <row r="1860">
          <cell r="J1860" t="str">
            <v/>
          </cell>
        </row>
        <row r="1861">
          <cell r="C1861">
            <v>8010036624</v>
          </cell>
          <cell r="D1861" t="str">
            <v>给水用聚乙烯HDPE直管(1.25MPa)黑色 dn75 5.8M(IDN)</v>
          </cell>
          <cell r="E1861" t="str">
            <v>Pipa HDPE Polyethylene untuk Suplai Air (1.25 MPa) Warna Hitam dn75 5.8M(IDN)</v>
          </cell>
          <cell r="F1861">
            <v>1</v>
          </cell>
          <cell r="G1861">
            <v>362584</v>
          </cell>
          <cell r="H1861">
            <v>326653</v>
          </cell>
        </row>
        <row r="1861">
          <cell r="J1861" t="str">
            <v/>
          </cell>
        </row>
        <row r="1862">
          <cell r="C1862">
            <v>8010036625</v>
          </cell>
          <cell r="D1862" t="str">
            <v>给水用聚乙烯HDPE直管(1.25MPa)黑色 dn75 6M(IDN)</v>
          </cell>
          <cell r="E1862" t="str">
            <v>Pipa HDPE Polyethylene untuk Suplai Air (1.25 MPa) Warna Hitam dn75 6M(IDN)</v>
          </cell>
          <cell r="F1862">
            <v>1</v>
          </cell>
          <cell r="G1862">
            <v>375087</v>
          </cell>
          <cell r="H1862">
            <v>337917</v>
          </cell>
        </row>
        <row r="1862">
          <cell r="J1862" t="str">
            <v/>
          </cell>
        </row>
        <row r="1863">
          <cell r="C1863">
            <v>8010036626</v>
          </cell>
          <cell r="D1863" t="str">
            <v>给水用聚乙烯HDPE直管(1.25MPa)黑色 dn75 11.8M(IDN)</v>
          </cell>
          <cell r="E1863" t="str">
            <v>Pipa HDPE Polyethylene untuk Suplai Air (1.25 MPa) Warna Hitam dn75 11.8M(IDN)</v>
          </cell>
          <cell r="F1863">
            <v>1</v>
          </cell>
          <cell r="G1863">
            <v>737671</v>
          </cell>
          <cell r="H1863">
            <v>664569</v>
          </cell>
        </row>
        <row r="1863">
          <cell r="J1863" t="str">
            <v/>
          </cell>
        </row>
        <row r="1864">
          <cell r="C1864">
            <v>8010036627</v>
          </cell>
          <cell r="D1864" t="str">
            <v>给水用聚乙烯HDPE直管(1.25MPa)黑色 dn75 12M(IDN)</v>
          </cell>
          <cell r="E1864" t="str">
            <v>Pipa HDPE Polyethylene untuk Suplai Air (1.25 MPa) Warna Hitam dn75 12M(IDN)</v>
          </cell>
          <cell r="F1864">
            <v>1</v>
          </cell>
          <cell r="G1864">
            <v>750174</v>
          </cell>
          <cell r="H1864">
            <v>675833</v>
          </cell>
        </row>
        <row r="1864">
          <cell r="J1864" t="str">
            <v/>
          </cell>
        </row>
        <row r="1865">
          <cell r="C1865">
            <v>8010036628</v>
          </cell>
          <cell r="D1865" t="str">
            <v>给水用聚乙烯HDPE直管(1.6MPa)黑色 dn75 5.8M(IDN)</v>
          </cell>
          <cell r="E1865" t="str">
            <v>Pipa HDPE Polyethylene untuk Suplai Air (1.6 MPa) Warna Hitam dn75 5.8M(IDN)</v>
          </cell>
          <cell r="F1865">
            <v>1</v>
          </cell>
          <cell r="G1865">
            <v>438370</v>
          </cell>
          <cell r="H1865">
            <v>394928</v>
          </cell>
        </row>
        <row r="1865">
          <cell r="J1865" t="str">
            <v/>
          </cell>
        </row>
        <row r="1866">
          <cell r="C1866">
            <v>8010036629</v>
          </cell>
          <cell r="D1866" t="str">
            <v>给水用聚乙烯HDPE直管(1.6MPa)黑色 dn75 6M(IDN)</v>
          </cell>
          <cell r="E1866" t="str">
            <v>Pipa HDPE Polyethylene untuk Suplai Air (1.6 MPa) Warna Hitam dn75 6M(IDN)</v>
          </cell>
          <cell r="F1866">
            <v>1</v>
          </cell>
          <cell r="G1866">
            <v>453486</v>
          </cell>
          <cell r="H1866">
            <v>408546</v>
          </cell>
        </row>
        <row r="1866">
          <cell r="J1866" t="str">
            <v/>
          </cell>
        </row>
        <row r="1867">
          <cell r="C1867">
            <v>8010036630</v>
          </cell>
          <cell r="D1867" t="str">
            <v>给水用聚乙烯HDPE直管(1.6MPa)黑色 dn75 11.8M(IDN)</v>
          </cell>
          <cell r="E1867" t="str">
            <v>Pipa HDPE Polyethylene untuk Suplai Air (1.6 MPa) Warna Hitam dn75 11.8M(IDN)</v>
          </cell>
          <cell r="F1867">
            <v>1</v>
          </cell>
          <cell r="G1867">
            <v>891857</v>
          </cell>
          <cell r="H1867">
            <v>803475</v>
          </cell>
        </row>
        <row r="1867">
          <cell r="J1867" t="str">
            <v/>
          </cell>
        </row>
        <row r="1868">
          <cell r="C1868">
            <v>8010036631</v>
          </cell>
          <cell r="D1868" t="str">
            <v>给水用聚乙烯HDPE直管(1.6MPa)黑色 dn75 12M(IDN)</v>
          </cell>
          <cell r="E1868" t="str">
            <v>Pipa HDPE Polyethylene untuk Suplai Air (1.6 MPa) Warna Hitam dn75 12M(IDN)</v>
          </cell>
          <cell r="F1868">
            <v>1</v>
          </cell>
          <cell r="G1868">
            <v>906973</v>
          </cell>
          <cell r="H1868">
            <v>817093</v>
          </cell>
        </row>
        <row r="1868">
          <cell r="J1868" t="str">
            <v/>
          </cell>
        </row>
        <row r="1869">
          <cell r="C1869">
            <v>8010036632</v>
          </cell>
          <cell r="D1869" t="str">
            <v>给水用聚乙烯HDPE直管(2.0MPa)黑色 dn75 5.8M(IDN)</v>
          </cell>
          <cell r="E1869" t="str">
            <v>Pipa HDPE Polyethylene untuk Suplai Air (2.0 MPa) Warna Hitam dn75 5.8M(IDN)</v>
          </cell>
          <cell r="F1869">
            <v>1</v>
          </cell>
          <cell r="G1869">
            <v>528401</v>
          </cell>
          <cell r="H1869">
            <v>476037</v>
          </cell>
        </row>
        <row r="1869">
          <cell r="J1869" t="str">
            <v/>
          </cell>
        </row>
        <row r="1870">
          <cell r="C1870">
            <v>8010036633</v>
          </cell>
          <cell r="D1870" t="str">
            <v>给水用聚乙烯HDPE直管(2.0MPa)黑色 dn75 6M(IDN)</v>
          </cell>
          <cell r="E1870" t="str">
            <v>Pipa HDPE Polyethylene untuk Suplai Air (2.0 MPa) Warna Hitam dn75 6M(IDN)</v>
          </cell>
          <cell r="F1870">
            <v>1</v>
          </cell>
          <cell r="G1870">
            <v>546643</v>
          </cell>
          <cell r="H1870">
            <v>492472</v>
          </cell>
        </row>
        <row r="1870">
          <cell r="J1870" t="str">
            <v/>
          </cell>
        </row>
        <row r="1871">
          <cell r="C1871">
            <v>8010036634</v>
          </cell>
          <cell r="D1871" t="str">
            <v>给水用聚乙烯HDPE直管(2.0MPa)黑色 dn75 11.8M(IDN)</v>
          </cell>
          <cell r="E1871" t="str">
            <v>Pipa HDPE Polyethylene untuk Suplai Air (2.0 MPa) Warna Hitam dn75 11.8M(IDN)</v>
          </cell>
          <cell r="F1871">
            <v>1</v>
          </cell>
          <cell r="G1871">
            <v>1075045</v>
          </cell>
          <cell r="H1871">
            <v>968510</v>
          </cell>
        </row>
        <row r="1871">
          <cell r="J1871" t="str">
            <v/>
          </cell>
        </row>
        <row r="1872">
          <cell r="C1872">
            <v>8010036635</v>
          </cell>
          <cell r="D1872" t="str">
            <v>给水用聚乙烯HDPE直管(2.0MPa)黑色 dn75 12M(IDN)</v>
          </cell>
          <cell r="E1872" t="str">
            <v>Pipa HDPE Polyethylene untuk Suplai Air (2.0 MPa) Warna Hitam dn75 12M(IDN)</v>
          </cell>
          <cell r="F1872">
            <v>1</v>
          </cell>
          <cell r="G1872">
            <v>1093287</v>
          </cell>
          <cell r="H1872">
            <v>984944</v>
          </cell>
        </row>
        <row r="1872">
          <cell r="J1872" t="str">
            <v/>
          </cell>
        </row>
        <row r="1873">
          <cell r="C1873">
            <v>8010036636</v>
          </cell>
          <cell r="D1873" t="str">
            <v>给水用聚乙烯HDPE直管(2.5MPa)黑色 dn75 5.8M(IDN)</v>
          </cell>
          <cell r="E1873" t="str">
            <v>Pipa HDPE Polyethylene untuk Suplai Air (2.5 MPa) Warna Hitam dn75 5.8M(IDN)</v>
          </cell>
          <cell r="F1873">
            <v>1</v>
          </cell>
          <cell r="G1873">
            <v>627707</v>
          </cell>
          <cell r="H1873">
            <v>565502</v>
          </cell>
        </row>
        <row r="1873">
          <cell r="J1873" t="str">
            <v/>
          </cell>
        </row>
        <row r="1874">
          <cell r="C1874">
            <v>8010036637</v>
          </cell>
          <cell r="D1874" t="str">
            <v>给水用聚乙烯HDPE直管(2.5MPa)黑色 dn75 6M(IDN)</v>
          </cell>
          <cell r="E1874" t="str">
            <v>Pipa HDPE Polyethylene untuk Suplai Air (2.5 MPa) Warna Hitam dn75 6M(IDN)</v>
          </cell>
          <cell r="F1874">
            <v>1</v>
          </cell>
          <cell r="G1874">
            <v>649331</v>
          </cell>
          <cell r="H1874">
            <v>584983</v>
          </cell>
        </row>
        <row r="1874">
          <cell r="J1874" t="str">
            <v/>
          </cell>
        </row>
        <row r="1875">
          <cell r="C1875">
            <v>8010036638</v>
          </cell>
          <cell r="D1875" t="str">
            <v>给水用聚乙烯HDPE直管(2.5MPa)黑色 dn75 11.8M(IDN)</v>
          </cell>
          <cell r="E1875" t="str">
            <v>Pipa HDPE Polyethylene untuk Suplai Air (2.5 MPa) Warna Hitam dn75 11.8M(IDN)</v>
          </cell>
          <cell r="F1875">
            <v>1</v>
          </cell>
          <cell r="G1875">
            <v>1277039</v>
          </cell>
          <cell r="H1875">
            <v>1150486</v>
          </cell>
        </row>
        <row r="1875">
          <cell r="J1875" t="str">
            <v/>
          </cell>
        </row>
        <row r="1876">
          <cell r="C1876">
            <v>8010036639</v>
          </cell>
          <cell r="D1876" t="str">
            <v>给水用聚乙烯HDPE直管(2.5MPa)黑色 dn75 12M(IDN)</v>
          </cell>
          <cell r="E1876" t="str">
            <v>Pipa HDPE Polyethylene untuk Suplai Air (2.5 MPa) Warna Hitam dn75 12M(IDN)</v>
          </cell>
          <cell r="F1876">
            <v>1</v>
          </cell>
          <cell r="G1876">
            <v>1298663</v>
          </cell>
          <cell r="H1876">
            <v>1169967</v>
          </cell>
        </row>
        <row r="1876">
          <cell r="J1876" t="str">
            <v/>
          </cell>
        </row>
        <row r="1877">
          <cell r="C1877">
            <v>8010036640</v>
          </cell>
          <cell r="D1877" t="str">
            <v>给水用聚乙烯HDPE直管(0.8MPa)黑色 dn90 5.8M(IDN)</v>
          </cell>
          <cell r="E1877" t="str">
            <v>Pipa HDPE Polyethylene untuk Suplai Air (0.8 MPa) Warna Hitam dn90 5.8M(IDN)</v>
          </cell>
          <cell r="F1877">
            <v>1</v>
          </cell>
          <cell r="G1877">
            <v>352797</v>
          </cell>
          <cell r="H1877">
            <v>317836</v>
          </cell>
        </row>
        <row r="1877">
          <cell r="J1877" t="str">
            <v/>
          </cell>
        </row>
        <row r="1878">
          <cell r="C1878">
            <v>8010036641</v>
          </cell>
          <cell r="D1878" t="str">
            <v>给水用聚乙烯HDPE直管(0.8MPa)黑色 dn90 6M(IDN)</v>
          </cell>
          <cell r="E1878" t="str">
            <v>Pipa HDPE Polyethylene untuk Suplai Air (0.8 MPa) Warna Hitam dn90 6M(IDN)</v>
          </cell>
          <cell r="F1878">
            <v>1</v>
          </cell>
          <cell r="G1878">
            <v>364941</v>
          </cell>
          <cell r="H1878">
            <v>328776</v>
          </cell>
        </row>
        <row r="1878">
          <cell r="J1878" t="str">
            <v/>
          </cell>
        </row>
        <row r="1879">
          <cell r="C1879">
            <v>8010036642</v>
          </cell>
          <cell r="D1879" t="str">
            <v>给水用聚乙烯HDPE直管(0.8MPa)黑色 dn90 11.8M(IDN)</v>
          </cell>
          <cell r="E1879" t="str">
            <v>Pipa HDPE Polyethylene untuk Suplai Air (0.8 MPa) Warna Hitam dn90 11.8M(IDN)</v>
          </cell>
          <cell r="F1879">
            <v>1</v>
          </cell>
          <cell r="G1879">
            <v>717739</v>
          </cell>
          <cell r="H1879">
            <v>646612</v>
          </cell>
        </row>
        <row r="1879">
          <cell r="J1879" t="str">
            <v/>
          </cell>
        </row>
        <row r="1880">
          <cell r="C1880">
            <v>8010036643</v>
          </cell>
          <cell r="D1880" t="str">
            <v>给水用聚乙烯HDPE直管(0.8MPa)黑色 dn90 12M(IDN)</v>
          </cell>
          <cell r="E1880" t="str">
            <v>Pipa HDPE Polyethylene untuk Suplai Air (0.8 MPa) Warna Hitam dn90 12M(IDN)</v>
          </cell>
          <cell r="F1880">
            <v>1</v>
          </cell>
          <cell r="G1880">
            <v>729883</v>
          </cell>
          <cell r="H1880">
            <v>657553</v>
          </cell>
        </row>
        <row r="1880">
          <cell r="J1880" t="str">
            <v/>
          </cell>
        </row>
        <row r="1881">
          <cell r="C1881">
            <v>8010036648</v>
          </cell>
          <cell r="D1881" t="str">
            <v>给水用聚乙烯HDPE直管(1.25MPa)黑色 dn90 5.8M(IDN)</v>
          </cell>
          <cell r="E1881" t="str">
            <v>Pipa HDPE Polyethylene untuk Suplai Air (1.25 MPa) Warna Hitamdn90 5.8M(IDN)</v>
          </cell>
          <cell r="F1881">
            <v>1</v>
          </cell>
          <cell r="G1881">
            <v>528401</v>
          </cell>
          <cell r="H1881">
            <v>476037</v>
          </cell>
        </row>
        <row r="1881">
          <cell r="J1881" t="str">
            <v/>
          </cell>
        </row>
        <row r="1882">
          <cell r="C1882">
            <v>8010036649</v>
          </cell>
          <cell r="D1882" t="str">
            <v>给水用聚乙烯HDPE直管(1.25MPa)黑色 dn90 6M(IDN)</v>
          </cell>
          <cell r="E1882" t="str">
            <v>Pipa HDPE Polyethylene untuk Suplai Air (1.25 MPa) Warna Hitamdn90 6M(IDN)</v>
          </cell>
          <cell r="F1882">
            <v>1</v>
          </cell>
          <cell r="G1882">
            <v>546643</v>
          </cell>
          <cell r="H1882">
            <v>492472</v>
          </cell>
        </row>
        <row r="1882">
          <cell r="J1882" t="str">
            <v/>
          </cell>
        </row>
        <row r="1883">
          <cell r="C1883">
            <v>8010036650</v>
          </cell>
          <cell r="D1883" t="str">
            <v>给水用聚乙烯HDPE直管(1.25MPa)黑色 dn90 11.8M(IDN)</v>
          </cell>
          <cell r="E1883" t="str">
            <v>Pipa HDPE Polyethylene untuk Suplai Air (1.25 MPa) Warna Hitamdn90 11.8M(IDN)</v>
          </cell>
          <cell r="F1883">
            <v>1</v>
          </cell>
          <cell r="G1883">
            <v>1075045</v>
          </cell>
          <cell r="H1883">
            <v>968510</v>
          </cell>
        </row>
        <row r="1883">
          <cell r="J1883" t="str">
            <v/>
          </cell>
        </row>
        <row r="1884">
          <cell r="C1884">
            <v>8010036651</v>
          </cell>
          <cell r="D1884" t="str">
            <v>给水用聚乙烯HDPE直管(1.25MPa)黑色 dn90 12M(IDN)</v>
          </cell>
          <cell r="E1884" t="str">
            <v>Pipa HDPE Polyethylene untuk Suplai Air (1.25 MPa) Warna Hitam dn90 12M(IDN)</v>
          </cell>
          <cell r="F1884">
            <v>1</v>
          </cell>
          <cell r="G1884">
            <v>1093287</v>
          </cell>
          <cell r="H1884">
            <v>984944</v>
          </cell>
        </row>
        <row r="1884">
          <cell r="J1884" t="str">
            <v/>
          </cell>
        </row>
        <row r="1885">
          <cell r="C1885">
            <v>8010036652</v>
          </cell>
          <cell r="D1885" t="str">
            <v>给水用聚乙烯HDPE直管(1.6MPa)黑色 dn90 5.8M(IDN)</v>
          </cell>
          <cell r="E1885" t="str">
            <v>Pipa HDPE Polyethylene untuk Suplai Air (1.6 MPa) Warna Hitam dn90 5.8M(IDN)</v>
          </cell>
          <cell r="F1885">
            <v>1</v>
          </cell>
          <cell r="G1885">
            <v>635137</v>
          </cell>
          <cell r="H1885">
            <v>572196</v>
          </cell>
        </row>
        <row r="1885">
          <cell r="J1885" t="str">
            <v/>
          </cell>
        </row>
        <row r="1886">
          <cell r="C1886">
            <v>8010036653</v>
          </cell>
          <cell r="D1886" t="str">
            <v>给水用聚乙烯HDPE直管(1.6MPa)黑色 dn90 6M(IDN)</v>
          </cell>
          <cell r="E1886" t="str">
            <v>Pipa HDPE Polyethylene untuk Suplai Air (1.6 MPa) Warna Hitam dn90 6M(IDN)</v>
          </cell>
          <cell r="F1886">
            <v>1</v>
          </cell>
          <cell r="G1886">
            <v>657017</v>
          </cell>
          <cell r="H1886">
            <v>591908</v>
          </cell>
        </row>
        <row r="1886">
          <cell r="J1886" t="str">
            <v/>
          </cell>
        </row>
        <row r="1887">
          <cell r="C1887">
            <v>8010036654</v>
          </cell>
          <cell r="D1887" t="str">
            <v>给水用聚乙烯HDPE直管(1.6MPa)黑色 dn90 11.8M(IDN)</v>
          </cell>
          <cell r="E1887" t="str">
            <v>Pipa HDPE Polyethylene untuk Suplai Air (1.6 MPa) Warna Hitam dn90 11.8M(IDN)</v>
          </cell>
          <cell r="F1887">
            <v>1</v>
          </cell>
          <cell r="G1887">
            <v>1292155</v>
          </cell>
          <cell r="H1887">
            <v>1164104</v>
          </cell>
        </row>
        <row r="1887">
          <cell r="J1887" t="str">
            <v/>
          </cell>
        </row>
        <row r="1888">
          <cell r="C1888">
            <v>8010036655</v>
          </cell>
          <cell r="D1888" t="str">
            <v>给水用聚乙烯HDPE直管(1.6MPa)黑色 dn90 12M(IDN)</v>
          </cell>
          <cell r="E1888" t="str">
            <v>Pipa HDPE Polyethylene untuk Suplai Air (1.6 MPa) Warna Hitam dn90 12M(IDN)</v>
          </cell>
          <cell r="F1888">
            <v>1</v>
          </cell>
          <cell r="G1888">
            <v>1314035</v>
          </cell>
          <cell r="H1888">
            <v>1183816</v>
          </cell>
        </row>
        <row r="1888">
          <cell r="J1888" t="str">
            <v/>
          </cell>
        </row>
        <row r="1889">
          <cell r="C1889">
            <v>8010036656</v>
          </cell>
          <cell r="D1889" t="str">
            <v>给水用聚乙烯HDPE直管(2.0MPa)黑色 dn90 5.8M(IDN)</v>
          </cell>
          <cell r="E1889" t="str">
            <v>Pipa HDPE Polyethylene untuk Suplai Air (2.0 MPa) Warna Hitam dn90 5.8M(IDN)</v>
          </cell>
          <cell r="F1889">
            <v>1</v>
          </cell>
          <cell r="G1889">
            <v>783123</v>
          </cell>
          <cell r="H1889">
            <v>705517</v>
          </cell>
        </row>
        <row r="1889">
          <cell r="J1889" t="str">
            <v/>
          </cell>
        </row>
        <row r="1890">
          <cell r="C1890">
            <v>8010036657</v>
          </cell>
          <cell r="D1890" t="str">
            <v>给水用聚乙烯HDPE直管(2.0MPa)黑色 dn90 6M(IDN)</v>
          </cell>
          <cell r="E1890" t="str">
            <v>Pipa HDPE Polyethylene untuk Suplai Air (2.0 MPa) Warna Hitam dn90 6M(IDN)</v>
          </cell>
          <cell r="F1890">
            <v>1</v>
          </cell>
          <cell r="G1890">
            <v>810127</v>
          </cell>
          <cell r="H1890">
            <v>729845</v>
          </cell>
        </row>
        <row r="1890">
          <cell r="J1890" t="str">
            <v/>
          </cell>
        </row>
        <row r="1891">
          <cell r="C1891">
            <v>8010036658</v>
          </cell>
          <cell r="D1891" t="str">
            <v>给水用聚乙烯HDPE直管(2.0MPa)黑色 dn90 11.8M(IDN)</v>
          </cell>
          <cell r="E1891" t="str">
            <v>Pipa HDPE Polyethylene untuk Suplai Air (2.0 MPa) Warna Hitam dn90 11.8M(IDN)</v>
          </cell>
          <cell r="F1891">
            <v>1</v>
          </cell>
          <cell r="G1891">
            <v>1593250</v>
          </cell>
          <cell r="H1891">
            <v>1435361</v>
          </cell>
        </row>
        <row r="1891">
          <cell r="J1891" t="str">
            <v/>
          </cell>
        </row>
        <row r="1892">
          <cell r="C1892">
            <v>8010036659</v>
          </cell>
          <cell r="D1892" t="str">
            <v>给水用聚乙烯HDPE直管(2.0MPa)黑色 dn90 12M(IDN)</v>
          </cell>
          <cell r="E1892" t="str">
            <v>Pipa HDPE Polyethylene untuk Suplai Air (2.0 MPa) Warna Hitam dn90 12M(IDN)</v>
          </cell>
          <cell r="F1892">
            <v>1</v>
          </cell>
          <cell r="G1892">
            <v>1620254</v>
          </cell>
          <cell r="H1892">
            <v>1459689</v>
          </cell>
        </row>
        <row r="1892">
          <cell r="J1892" t="str">
            <v/>
          </cell>
        </row>
        <row r="1893">
          <cell r="C1893">
            <v>8010036660</v>
          </cell>
          <cell r="D1893" t="str">
            <v>给水用聚乙烯HDPE直管(2.5MPa)黑色 dn90 5.8M(IDN)</v>
          </cell>
          <cell r="E1893" t="str">
            <v>Pipa HDPE Polyethylene untuk Suplai Air (2.5 MPa) Warna Hitam dn90 5.8M(IDN)</v>
          </cell>
          <cell r="F1893">
            <v>1</v>
          </cell>
          <cell r="G1893">
            <v>891601</v>
          </cell>
          <cell r="H1893">
            <v>803245</v>
          </cell>
        </row>
        <row r="1893">
          <cell r="J1893" t="str">
            <v/>
          </cell>
        </row>
        <row r="1894">
          <cell r="C1894">
            <v>8010036661</v>
          </cell>
          <cell r="D1894" t="str">
            <v>给水用聚乙烯HDPE直管(2.5MPa)黑色 dn90 6M(IDN)</v>
          </cell>
          <cell r="E1894" t="str">
            <v>Pipa HDPE Polyethylene untuk Suplai Air (2.5 MPa) Warna Hitam dn90 6M(IDN)</v>
          </cell>
          <cell r="F1894">
            <v>1</v>
          </cell>
          <cell r="G1894">
            <v>922346</v>
          </cell>
          <cell r="H1894">
            <v>830943</v>
          </cell>
        </row>
        <row r="1894">
          <cell r="J1894" t="str">
            <v/>
          </cell>
        </row>
        <row r="1895">
          <cell r="C1895">
            <v>8010036662</v>
          </cell>
          <cell r="D1895" t="str">
            <v>给水用聚乙烯HDPE直管(2.5MPa)黑色 dn90 11.8M(IDN)</v>
          </cell>
          <cell r="E1895" t="str">
            <v>Pipa HDPE Polyethylene untuk Suplai Air (2.5 MPa) Warna Hitam dn90 11.8M(IDN)</v>
          </cell>
          <cell r="F1895">
            <v>1</v>
          </cell>
          <cell r="G1895">
            <v>1813947</v>
          </cell>
          <cell r="H1895">
            <v>1634187</v>
          </cell>
        </row>
        <row r="1895">
          <cell r="J1895" t="str">
            <v/>
          </cell>
        </row>
        <row r="1896">
          <cell r="C1896">
            <v>8010036663</v>
          </cell>
          <cell r="D1896" t="str">
            <v>给水用聚乙烯HDPE直管(2.5MPa)黑色 dn90 12M(IDN)</v>
          </cell>
          <cell r="E1896" t="str">
            <v>Pipa HDPE Polyethylene untuk Suplai Air (2.5 MPa) Warna Hitam dn90 12M(IDN)</v>
          </cell>
          <cell r="F1896">
            <v>1</v>
          </cell>
          <cell r="G1896">
            <v>1844692</v>
          </cell>
          <cell r="H1896">
            <v>1661885</v>
          </cell>
        </row>
        <row r="1896">
          <cell r="J1896" t="str">
            <v/>
          </cell>
        </row>
        <row r="1897">
          <cell r="C1897">
            <v>8010036664</v>
          </cell>
          <cell r="D1897" t="str">
            <v>给水用聚乙烯HDPE直管(0.6MPa)黑色 dn110 5.8M(IDN)</v>
          </cell>
          <cell r="E1897" t="str">
            <v>Pipa HDPE Polyethylene untuk Suplai Air (0.6 MPa) Warna Hitam dn110 5.8M(IDN)</v>
          </cell>
          <cell r="F1897">
            <v>1</v>
          </cell>
          <cell r="G1897">
            <v>426175</v>
          </cell>
          <cell r="H1897">
            <v>383942</v>
          </cell>
        </row>
        <row r="1897">
          <cell r="J1897" t="str">
            <v/>
          </cell>
        </row>
        <row r="1898">
          <cell r="C1898">
            <v>8010036665</v>
          </cell>
          <cell r="D1898" t="str">
            <v>给水用聚乙烯HDPE直管(0.6MPa)黑色 dn110 6M(IDN)</v>
          </cell>
          <cell r="E1898" t="str">
            <v>Pipa HDPE Polyethylene untuk Suplai Air (0.6 MPa) Warna Hitam dn110 6M(IDN)</v>
          </cell>
          <cell r="F1898">
            <v>1</v>
          </cell>
          <cell r="G1898">
            <v>440881</v>
          </cell>
          <cell r="H1898">
            <v>397191</v>
          </cell>
        </row>
        <row r="1898">
          <cell r="J1898" t="str">
            <v/>
          </cell>
        </row>
        <row r="1899">
          <cell r="C1899">
            <v>8010036666</v>
          </cell>
          <cell r="D1899" t="str">
            <v>给水用聚乙烯HDPE直管(0.6MPa)黑色 dn110 11.8M(IDN)</v>
          </cell>
          <cell r="E1899" t="str">
            <v>Pipa HDPE Polyethylene untuk Suplai Air (0.6 MPa) Warna Hitam dn110 11.8M(IDN)</v>
          </cell>
          <cell r="F1899">
            <v>1</v>
          </cell>
          <cell r="G1899">
            <v>867056</v>
          </cell>
          <cell r="H1899">
            <v>781132</v>
          </cell>
        </row>
        <row r="1899">
          <cell r="J1899" t="str">
            <v/>
          </cell>
        </row>
        <row r="1900">
          <cell r="C1900">
            <v>8010036667</v>
          </cell>
          <cell r="D1900" t="str">
            <v>给水用聚乙烯HDPE直管(0.6MPa)黑色 dn110 12M(IDN)</v>
          </cell>
          <cell r="E1900" t="str">
            <v>Pipa HDPE Polyethylene untuk Suplai Air (0.6 MPa) Warna Hitam dn110 12M(IDN)</v>
          </cell>
          <cell r="F1900">
            <v>1</v>
          </cell>
          <cell r="G1900">
            <v>881762</v>
          </cell>
          <cell r="H1900">
            <v>794381</v>
          </cell>
        </row>
        <row r="1900">
          <cell r="J1900" t="str">
            <v/>
          </cell>
        </row>
        <row r="1901">
          <cell r="C1901">
            <v>8010036668</v>
          </cell>
          <cell r="D1901" t="str">
            <v>给水用聚乙烯HDPE直管(0.8MPa)黑色 dn110 5.8M(IDN)</v>
          </cell>
          <cell r="E1901" t="str">
            <v>Pipa HDPE Polyethylene untuk Suplai Air (0.8 MPa) Warna Hitam dn110 5.8M(IDN)</v>
          </cell>
          <cell r="F1901">
            <v>1</v>
          </cell>
          <cell r="G1901">
            <v>530195</v>
          </cell>
          <cell r="H1901">
            <v>477654</v>
          </cell>
        </row>
        <row r="1901">
          <cell r="J1901" t="str">
            <v/>
          </cell>
        </row>
        <row r="1902">
          <cell r="C1902">
            <v>8010036669</v>
          </cell>
          <cell r="D1902" t="str">
            <v>给水用聚乙烯HDPE直管(0.8MPa)黑色 dn110 6M(IDN)</v>
          </cell>
          <cell r="E1902" t="str">
            <v>Pipa HDPE Polyethylene untuk Suplai Air (0.8 MPa) Warna Hitam dn110 6M(IDN)</v>
          </cell>
          <cell r="F1902">
            <v>1</v>
          </cell>
          <cell r="G1902">
            <v>548488</v>
          </cell>
          <cell r="H1902">
            <v>494134</v>
          </cell>
        </row>
        <row r="1902">
          <cell r="J1902" t="str">
            <v/>
          </cell>
        </row>
        <row r="1903">
          <cell r="C1903">
            <v>8010036670</v>
          </cell>
          <cell r="D1903" t="str">
            <v>给水用聚乙烯HDPE直管(0.8MPa)黑色 dn110 11.8M(IDN)</v>
          </cell>
          <cell r="E1903" t="str">
            <v>Pipa HDPE Polyethylene untuk Suplai Air (0.8 MPa) Warna Hitam dn110 11.8M(IDN)</v>
          </cell>
          <cell r="F1903">
            <v>1</v>
          </cell>
          <cell r="G1903">
            <v>1078683</v>
          </cell>
          <cell r="H1903">
            <v>971787</v>
          </cell>
        </row>
        <row r="1903">
          <cell r="J1903" t="str">
            <v/>
          </cell>
        </row>
        <row r="1904">
          <cell r="C1904">
            <v>8010036671</v>
          </cell>
          <cell r="D1904" t="str">
            <v>给水用聚乙烯HDPE直管(0.8MPa)黑色 dn110 12M(IDN)</v>
          </cell>
          <cell r="E1904" t="str">
            <v>Pipa HDPE Polyethylene untuk Suplai Air (0.8 MPa) Warna Hitam dn110 12M(IDN)</v>
          </cell>
          <cell r="F1904">
            <v>1</v>
          </cell>
          <cell r="G1904">
            <v>1096976</v>
          </cell>
          <cell r="H1904">
            <v>988267</v>
          </cell>
        </row>
        <row r="1904">
          <cell r="J1904" t="str">
            <v/>
          </cell>
        </row>
        <row r="1905">
          <cell r="C1905">
            <v>8010036676</v>
          </cell>
          <cell r="D1905" t="str">
            <v>给水用聚乙烯HDPE直管(1.25MPa)黑色 dn110 5.8M(IDN)</v>
          </cell>
          <cell r="E1905" t="str">
            <v>Pipa HDPE Polyethylene untuk Suplai Air (1.25 MPa) Warna Hitam dn110 5.8M(IDN)</v>
          </cell>
          <cell r="F1905">
            <v>1</v>
          </cell>
          <cell r="G1905">
            <v>772106</v>
          </cell>
          <cell r="H1905">
            <v>695591</v>
          </cell>
        </row>
        <row r="1905">
          <cell r="J1905" t="str">
            <v/>
          </cell>
        </row>
        <row r="1906">
          <cell r="C1906">
            <v>8010036677</v>
          </cell>
          <cell r="D1906" t="str">
            <v>给水用聚乙烯HDPE直管(1.25MPa)黑色 dn110 6M(IDN)</v>
          </cell>
          <cell r="E1906" t="str">
            <v>Pipa HDPE Polyethylene untuk Suplai Air (1.25 MPa) Warna Hitam dn110 6M(IDN)</v>
          </cell>
          <cell r="F1906">
            <v>1</v>
          </cell>
          <cell r="G1906">
            <v>798751</v>
          </cell>
          <cell r="H1906">
            <v>719596</v>
          </cell>
        </row>
        <row r="1906">
          <cell r="J1906" t="str">
            <v/>
          </cell>
        </row>
        <row r="1907">
          <cell r="C1907">
            <v>8010036678</v>
          </cell>
          <cell r="D1907" t="str">
            <v>给水用聚乙烯HDPE直管(1.25MPa)黑色 dn110 11.8M(IDN)</v>
          </cell>
          <cell r="E1907" t="str">
            <v>Pipa HDPE Polyethylene untuk Suplai Air (1.25 MPa) Warna Hitam dn110 11.8M(IDN)</v>
          </cell>
          <cell r="F1907">
            <v>1</v>
          </cell>
          <cell r="G1907">
            <v>1570857</v>
          </cell>
          <cell r="H1907">
            <v>1415187</v>
          </cell>
        </row>
        <row r="1907">
          <cell r="J1907" t="str">
            <v/>
          </cell>
        </row>
        <row r="1908">
          <cell r="C1908">
            <v>8010036679</v>
          </cell>
          <cell r="D1908" t="str">
            <v>给水用聚乙烯HDPE直管(1.25MPa)黑色 dn110 12M(IDN)</v>
          </cell>
          <cell r="E1908" t="str">
            <v>Pipa HDPE Polyethylene untuk Suplai Air (1.25 MPa) Warna Hitam dn110 12M(IDN)</v>
          </cell>
          <cell r="F1908">
            <v>1</v>
          </cell>
          <cell r="G1908">
            <v>1597503</v>
          </cell>
          <cell r="H1908">
            <v>1439192</v>
          </cell>
        </row>
        <row r="1908">
          <cell r="J1908" t="str">
            <v/>
          </cell>
        </row>
        <row r="1909">
          <cell r="C1909">
            <v>8010036680</v>
          </cell>
          <cell r="D1909" t="str">
            <v>给水用聚乙烯HDPE直管(1.6MPa)黑色 dn110 5.8M(IDN)</v>
          </cell>
          <cell r="E1909" t="str">
            <v>Pipa HDPE Polyethylene untuk Suplai Air (1.6 MPa) Warna Hitam dn110 5.8M(IDN)</v>
          </cell>
          <cell r="F1909">
            <v>1</v>
          </cell>
          <cell r="G1909">
            <v>939768</v>
          </cell>
          <cell r="H1909">
            <v>846638</v>
          </cell>
        </row>
        <row r="1909">
          <cell r="J1909" t="str">
            <v/>
          </cell>
        </row>
        <row r="1910">
          <cell r="C1910">
            <v>8010036681</v>
          </cell>
          <cell r="D1910" t="str">
            <v>给水用聚乙烯HDPE直管(1.6MPa)黑色 dn110 6M(IDN)</v>
          </cell>
          <cell r="E1910" t="str">
            <v>Pipa HDPE Polyethylene untuk Suplai Air (1.6 MPa) Warna Hitam dn110 6M(IDN)</v>
          </cell>
          <cell r="F1910">
            <v>1</v>
          </cell>
          <cell r="G1910">
            <v>972152</v>
          </cell>
          <cell r="H1910">
            <v>875813</v>
          </cell>
        </row>
        <row r="1910">
          <cell r="J1910" t="str">
            <v/>
          </cell>
        </row>
        <row r="1911">
          <cell r="C1911">
            <v>8010036682</v>
          </cell>
          <cell r="D1911" t="str">
            <v>给水用聚乙烯HDPE直管(1.6MPa)黑色 dn110 11.8M(IDN)</v>
          </cell>
          <cell r="E1911" t="str">
            <v>Pipa HDPE Polyethylene untuk Suplai Air (1.6 MPa) Warna Hitam dn110 11.8M(IDN)</v>
          </cell>
          <cell r="F1911">
            <v>1</v>
          </cell>
          <cell r="G1911">
            <v>1911920</v>
          </cell>
          <cell r="H1911">
            <v>1722451</v>
          </cell>
        </row>
        <row r="1911">
          <cell r="J1911" t="str">
            <v/>
          </cell>
        </row>
        <row r="1912">
          <cell r="C1912">
            <v>8010036683</v>
          </cell>
          <cell r="D1912" t="str">
            <v>给水用聚乙烯HDPE直管(1.6MPa)黑色 dn110 12M(IDN)</v>
          </cell>
          <cell r="E1912" t="str">
            <v>Pipa HDPE Polyethylene untuk Suplai Air (1.6 MPa) Warna Hitam dn110 12M(IDN)</v>
          </cell>
          <cell r="F1912">
            <v>1</v>
          </cell>
          <cell r="G1912">
            <v>1944305</v>
          </cell>
          <cell r="H1912">
            <v>1751627</v>
          </cell>
        </row>
        <row r="1912">
          <cell r="J1912" t="str">
            <v/>
          </cell>
        </row>
        <row r="1913">
          <cell r="C1913">
            <v>8010036684</v>
          </cell>
          <cell r="D1913" t="str">
            <v>给水用聚乙烯HDPE直管(2.0MPa)黑色 dn110 5.8M(IDN)</v>
          </cell>
          <cell r="E1913" t="str">
            <v>Pipa HDPE Polyethylene untuk Suplai Air (2.0 MPa) Warna Hitam dn110 5.8M(IDN)</v>
          </cell>
          <cell r="F1913">
            <v>1</v>
          </cell>
          <cell r="G1913">
            <v>1132333</v>
          </cell>
          <cell r="H1913">
            <v>1020120</v>
          </cell>
        </row>
        <row r="1913">
          <cell r="J1913" t="str">
            <v/>
          </cell>
        </row>
        <row r="1914">
          <cell r="C1914">
            <v>8010036685</v>
          </cell>
          <cell r="D1914" t="str">
            <v>给水用聚乙烯HDPE直管(2.0MPa)黑色 dn110 6M(IDN)</v>
          </cell>
          <cell r="E1914" t="str">
            <v>Pipa HDPE Polyethylene untuk Suplai Air (2.0 MPa) Warna Hitam dn110 6M(IDN)</v>
          </cell>
          <cell r="F1914">
            <v>1</v>
          </cell>
          <cell r="G1914">
            <v>1171379</v>
          </cell>
          <cell r="H1914">
            <v>1055297</v>
          </cell>
        </row>
        <row r="1914">
          <cell r="J1914" t="str">
            <v/>
          </cell>
        </row>
        <row r="1915">
          <cell r="C1915">
            <v>8010036686</v>
          </cell>
          <cell r="D1915" t="str">
            <v>给水用聚乙烯HDPE直管(2.0MPa)黑色 dn110 11.8M(IDN)</v>
          </cell>
          <cell r="E1915" t="str">
            <v>Pipa HDPE Polyethylene untuk Suplai Air (2.0 MPa) Warna Hitam dn110 11.8M(IDN)</v>
          </cell>
          <cell r="F1915">
            <v>1</v>
          </cell>
          <cell r="G1915">
            <v>2303712</v>
          </cell>
          <cell r="H1915">
            <v>2075417</v>
          </cell>
        </row>
        <row r="1915">
          <cell r="J1915" t="str">
            <v/>
          </cell>
        </row>
        <row r="1916">
          <cell r="C1916">
            <v>8010036687</v>
          </cell>
          <cell r="D1916" t="str">
            <v>给水用聚乙烯HDPE直管(2.0MPa)黑色 dn110 12M(IDN)</v>
          </cell>
          <cell r="E1916" t="str">
            <v>Pipa HDPE Polyethylene untuk Suplai Air (2.0 MPa) Warna Hitam dn110 12M(IDN)</v>
          </cell>
          <cell r="F1916">
            <v>1</v>
          </cell>
          <cell r="G1916">
            <v>2342758</v>
          </cell>
          <cell r="H1916">
            <v>2110593</v>
          </cell>
        </row>
        <row r="1916">
          <cell r="J1916" t="str">
            <v/>
          </cell>
        </row>
        <row r="1917">
          <cell r="C1917">
            <v>8010036688</v>
          </cell>
          <cell r="D1917" t="str">
            <v>给水用聚乙烯HDPE直管(2.5MPa)黑色 dn110 5.8M(IDN)</v>
          </cell>
          <cell r="E1917" t="str">
            <v>Pipa HDPE Polyethylene untuk Suplai Air (2.5 MPa) Warna Hitam dn110 5.8M(IDN)</v>
          </cell>
          <cell r="F1917">
            <v>1</v>
          </cell>
          <cell r="G1917">
            <v>1347188</v>
          </cell>
          <cell r="H1917">
            <v>1213683</v>
          </cell>
        </row>
        <row r="1917">
          <cell r="J1917" t="str">
            <v/>
          </cell>
        </row>
        <row r="1918">
          <cell r="C1918">
            <v>8010036689</v>
          </cell>
          <cell r="D1918" t="str">
            <v>给水用聚乙烯HDPE直管(2.5MPa)黑色 dn110 6M(IDN)</v>
          </cell>
          <cell r="E1918" t="str">
            <v>Pipa HDPE Polyethylene untuk Suplai Air (2.5 MPa) Warna Hitam dn110 6M(IDN)</v>
          </cell>
          <cell r="F1918">
            <v>1</v>
          </cell>
          <cell r="G1918">
            <v>1393664</v>
          </cell>
          <cell r="H1918">
            <v>1255554</v>
          </cell>
        </row>
        <row r="1918">
          <cell r="J1918" t="str">
            <v/>
          </cell>
        </row>
        <row r="1919">
          <cell r="C1919">
            <v>8010036690</v>
          </cell>
          <cell r="D1919" t="str">
            <v>给水用聚乙烯HDPE直管(2.5MPa)黑色 dn110 11.8M(IDN)</v>
          </cell>
          <cell r="E1919" t="str">
            <v>Pipa HDPE Polyethylene untuk Suplai Air (2.5 MPa) Warna Hitam dn110 11.8M(IDN)</v>
          </cell>
          <cell r="F1919">
            <v>1</v>
          </cell>
          <cell r="G1919">
            <v>2740853</v>
          </cell>
          <cell r="H1919">
            <v>2469237</v>
          </cell>
        </row>
        <row r="1919">
          <cell r="J1919" t="str">
            <v/>
          </cell>
        </row>
        <row r="1920">
          <cell r="C1920">
            <v>8010036691</v>
          </cell>
          <cell r="D1920" t="str">
            <v>给水用聚乙烯HDPE直管(2.5MPa)黑色 dn110 12M(IDN)</v>
          </cell>
          <cell r="E1920" t="str">
            <v>Pipa HDPE Polyethylene untuk Suplai Air (2.5 MPa) Warna Hitam dn110 12M(IDN)</v>
          </cell>
          <cell r="F1920">
            <v>1</v>
          </cell>
          <cell r="G1920">
            <v>2787329</v>
          </cell>
          <cell r="H1920">
            <v>2511108</v>
          </cell>
        </row>
        <row r="1920">
          <cell r="J1920" t="str">
            <v/>
          </cell>
        </row>
        <row r="1921">
          <cell r="C1921">
            <v>8010036692</v>
          </cell>
          <cell r="D1921" t="str">
            <v>给水用聚乙烯HDPE直管(0.6MPa)黑色 dn125 5.8M(IDN)</v>
          </cell>
          <cell r="E1921" t="str">
            <v>Pipa HDPE Polyethylene untuk Suplai Air (0.6 MPa) Warna Hitam dn125 5.8M(IDN)</v>
          </cell>
          <cell r="F1921">
            <v>1</v>
          </cell>
          <cell r="G1921">
            <v>548949</v>
          </cell>
          <cell r="H1921">
            <v>494549</v>
          </cell>
        </row>
        <row r="1921">
          <cell r="J1921" t="str">
            <v/>
          </cell>
        </row>
        <row r="1922">
          <cell r="C1922">
            <v>8010036693</v>
          </cell>
          <cell r="D1922" t="str">
            <v>给水用聚乙烯HDPE直管(0.6MPa)黑色 dn125 6M(IDN)</v>
          </cell>
          <cell r="E1922" t="str">
            <v>Pipa HDPE Polyethylene untuk Suplai Air (0.6 MPa) Warna Hitam dn125 6M(IDN)</v>
          </cell>
          <cell r="F1922">
            <v>1</v>
          </cell>
          <cell r="G1922">
            <v>567857</v>
          </cell>
          <cell r="H1922">
            <v>511583</v>
          </cell>
        </row>
        <row r="1922">
          <cell r="J1922" t="str">
            <v/>
          </cell>
        </row>
        <row r="1923">
          <cell r="C1923">
            <v>8010036694</v>
          </cell>
          <cell r="D1923" t="str">
            <v>给水用聚乙烯HDPE直管(0.6MPa)黑色 dn125 11.8M(IDN)</v>
          </cell>
          <cell r="E1923" t="str">
            <v>Pipa HDPE Polyethylene untuk Suplai Air (0.6 MPa) Warna Hitam dn125 11.8M(IDN)</v>
          </cell>
          <cell r="F1923">
            <v>1</v>
          </cell>
          <cell r="G1923">
            <v>1116807</v>
          </cell>
          <cell r="H1923">
            <v>1006133</v>
          </cell>
        </row>
        <row r="1923">
          <cell r="J1923" t="str">
            <v/>
          </cell>
        </row>
        <row r="1924">
          <cell r="C1924">
            <v>8010036695</v>
          </cell>
          <cell r="D1924" t="str">
            <v>给水用聚乙烯HDPE直管(0.6MPa)黑色 dn125 12M(IDN)</v>
          </cell>
          <cell r="E1924" t="str">
            <v>Pipa HDPE Polyethylene untuk Suplai Air (0.6 MPa) Warna Hitam dn125 12M(IDN)</v>
          </cell>
          <cell r="F1924">
            <v>1</v>
          </cell>
          <cell r="G1924">
            <v>1135715</v>
          </cell>
          <cell r="H1924">
            <v>1023167</v>
          </cell>
        </row>
        <row r="1924">
          <cell r="J1924" t="str">
            <v/>
          </cell>
        </row>
        <row r="1925">
          <cell r="C1925">
            <v>8010036696</v>
          </cell>
          <cell r="D1925" t="str">
            <v>给水用聚乙烯HDPE直管(0.8MPa)黑色 dn125 5.8M(IDN)</v>
          </cell>
          <cell r="E1925" t="str">
            <v>Pipa HDPE Polyethylene untuk Suplai Air (0.8 MPa) Warna Hitam dn125 5.8M(IDN)</v>
          </cell>
          <cell r="F1925">
            <v>1</v>
          </cell>
          <cell r="G1925">
            <v>676438</v>
          </cell>
          <cell r="H1925">
            <v>609404</v>
          </cell>
        </row>
        <row r="1925">
          <cell r="J1925" t="str">
            <v/>
          </cell>
        </row>
        <row r="1926">
          <cell r="C1926">
            <v>8010036697</v>
          </cell>
          <cell r="D1926" t="str">
            <v>给水用聚乙烯HDPE直管(0.8MPa)黑色 dn125 6M(IDN)</v>
          </cell>
          <cell r="E1926" t="str">
            <v>Pipa HDPE Polyethylene untuk Suplai Air (0.8 MPa) Warna Hitam  dn125 6M(IDN)</v>
          </cell>
          <cell r="F1926">
            <v>1</v>
          </cell>
          <cell r="G1926">
            <v>699753</v>
          </cell>
          <cell r="H1926">
            <v>630409</v>
          </cell>
        </row>
        <row r="1926">
          <cell r="J1926" t="str">
            <v/>
          </cell>
        </row>
        <row r="1927">
          <cell r="C1927">
            <v>8010036698</v>
          </cell>
          <cell r="D1927" t="str">
            <v>给水用聚乙烯HDPE直管(0.8MPa)黑色 dn125 11.8M(IDN)</v>
          </cell>
          <cell r="E1927" t="str">
            <v>Pipa HDPE Polyethylene untuk Suplai Air (0.8 MPa) Warna Hitam dn125 11.8M(IDN)</v>
          </cell>
          <cell r="F1927">
            <v>1</v>
          </cell>
          <cell r="G1927">
            <v>1376191</v>
          </cell>
          <cell r="H1927">
            <v>1239812</v>
          </cell>
        </row>
        <row r="1927">
          <cell r="J1927" t="str">
            <v/>
          </cell>
        </row>
        <row r="1928">
          <cell r="C1928">
            <v>8010036699</v>
          </cell>
          <cell r="D1928" t="str">
            <v>给水用聚乙烯HDPE直管(0.8MPa)黑色 dn125 12M(IDN)</v>
          </cell>
          <cell r="E1928" t="str">
            <v>Pipa HDPE Polyethylene untuk Suplai Air (0.8 MPa) Warna Hitam dn125 12M(IDN)</v>
          </cell>
          <cell r="F1928">
            <v>1</v>
          </cell>
          <cell r="G1928">
            <v>1399506</v>
          </cell>
          <cell r="H1928">
            <v>1260817</v>
          </cell>
        </row>
        <row r="1928">
          <cell r="J1928" t="str">
            <v/>
          </cell>
        </row>
        <row r="1929">
          <cell r="C1929">
            <v>8010036704</v>
          </cell>
          <cell r="D1929" t="str">
            <v>给水用聚乙烯HDPE直管(1.25MPa)黑色 dn125 5.8M(IDN)</v>
          </cell>
          <cell r="E1929" t="str">
            <v>Pipa HDPE Polyethylene untuk Suplai Air (1.25 MPa) Warna Hitam dn125 5.8M(IDN)</v>
          </cell>
          <cell r="F1929">
            <v>1</v>
          </cell>
          <cell r="G1929">
            <v>1015554</v>
          </cell>
          <cell r="H1929">
            <v>914914</v>
          </cell>
        </row>
        <row r="1929">
          <cell r="J1929" t="str">
            <v/>
          </cell>
        </row>
        <row r="1930">
          <cell r="C1930">
            <v>8010036705</v>
          </cell>
          <cell r="D1930" t="str">
            <v>给水用聚乙烯HDPE直管(1.25MPa)黑色 dn125 6M(IDN)</v>
          </cell>
          <cell r="E1930" t="str">
            <v>Pipa HDPE Polyethylene untuk Suplai Air (1.25 MPa) Warna Hitam dn125 6M(IDN)</v>
          </cell>
          <cell r="F1930">
            <v>1</v>
          </cell>
          <cell r="G1930">
            <v>1050552</v>
          </cell>
          <cell r="H1930">
            <v>946444</v>
          </cell>
        </row>
        <row r="1930">
          <cell r="J1930" t="str">
            <v/>
          </cell>
        </row>
        <row r="1931">
          <cell r="C1931">
            <v>8010036706</v>
          </cell>
          <cell r="D1931" t="str">
            <v>给水用聚乙烯HDPE直管(1.25MPa)黑色 dn125 11.8M(IDN)</v>
          </cell>
          <cell r="E1931" t="str">
            <v>Pipa HDPE Polyethylene untuk Suplai Air (1.25 MPa) Warna Hitam dn125 11.8M(IDN)</v>
          </cell>
          <cell r="F1931">
            <v>1</v>
          </cell>
          <cell r="G1931">
            <v>2066106</v>
          </cell>
          <cell r="H1931">
            <v>1861357</v>
          </cell>
        </row>
        <row r="1931">
          <cell r="J1931" t="str">
            <v/>
          </cell>
        </row>
        <row r="1932">
          <cell r="C1932">
            <v>8010036707</v>
          </cell>
          <cell r="D1932" t="str">
            <v>给水用聚乙烯HDPE直管(1.25MPa)黑色 dn125 12M(IDN)</v>
          </cell>
          <cell r="E1932" t="str">
            <v>Pipa HDPE Polyethylene untuk Suplai Air (1.25 MPa) Warna Hitam dn125 12M(IDN)</v>
          </cell>
          <cell r="F1932">
            <v>1</v>
          </cell>
          <cell r="G1932">
            <v>2101104</v>
          </cell>
          <cell r="H1932">
            <v>1892887</v>
          </cell>
        </row>
        <row r="1932">
          <cell r="J1932" t="str">
            <v/>
          </cell>
        </row>
        <row r="1933">
          <cell r="C1933">
            <v>8010036708</v>
          </cell>
          <cell r="D1933" t="str">
            <v>给水用聚乙烯HDPE直管(1.6MPa)黑色 dn125 5.8M(IDN)</v>
          </cell>
          <cell r="E1933" t="str">
            <v>Pipa HDPE Polyethylene untuk Suplai Air (1.6 MPa) Warna Hitam dn125 5.8M(IDN)</v>
          </cell>
          <cell r="F1933">
            <v>1</v>
          </cell>
          <cell r="G1933">
            <v>1222108</v>
          </cell>
          <cell r="H1933">
            <v>1100999</v>
          </cell>
        </row>
        <row r="1933">
          <cell r="J1933" t="str">
            <v/>
          </cell>
        </row>
        <row r="1934">
          <cell r="C1934">
            <v>8010036709</v>
          </cell>
          <cell r="D1934" t="str">
            <v>给水用聚乙烯HDPE直管(1.6MPa)黑色 dn125 6M(IDN)</v>
          </cell>
          <cell r="E1934" t="str">
            <v>Pipa HDPE Polyethylene untuk Suplai Air (1.6 MPa) Warna Hitam dn125 6M(IDN)</v>
          </cell>
          <cell r="F1934">
            <v>1</v>
          </cell>
          <cell r="G1934">
            <v>1264229</v>
          </cell>
          <cell r="H1934">
            <v>1138946</v>
          </cell>
        </row>
        <row r="1934">
          <cell r="J1934" t="str">
            <v/>
          </cell>
        </row>
        <row r="1935">
          <cell r="C1935">
            <v>8010036710</v>
          </cell>
          <cell r="D1935" t="str">
            <v>给水用聚乙烯HDPE直管(1.6MPa)黑色 dn125 11.8M(IDN)</v>
          </cell>
          <cell r="E1935" t="str">
            <v>Pipa HDPE Polyethylene untuk Suplai Air (1.6 MPa) Warna Hitam dn125 11.8M(IDN)</v>
          </cell>
          <cell r="F1935">
            <v>1</v>
          </cell>
          <cell r="G1935">
            <v>2486337</v>
          </cell>
          <cell r="H1935">
            <v>2239944</v>
          </cell>
        </row>
        <row r="1935">
          <cell r="J1935" t="str">
            <v/>
          </cell>
        </row>
        <row r="1936">
          <cell r="C1936">
            <v>8010036711</v>
          </cell>
          <cell r="D1936" t="str">
            <v>给水用聚乙烯HDPE直管(1.6MPa)黑色 dn125 12M(IDN)</v>
          </cell>
          <cell r="E1936" t="str">
            <v>Pipa HDPE Polyethylene untuk Suplai Air (1.6 MPa) Warna Hitam dn125 12M(IDN)</v>
          </cell>
          <cell r="F1936">
            <v>1</v>
          </cell>
          <cell r="G1936">
            <v>2528457</v>
          </cell>
          <cell r="H1936">
            <v>2277890</v>
          </cell>
        </row>
        <row r="1936">
          <cell r="J1936" t="str">
            <v/>
          </cell>
        </row>
        <row r="1937">
          <cell r="C1937">
            <v>8010036712</v>
          </cell>
          <cell r="D1937" t="str">
            <v>给水用聚乙烯HDPE直管(2.0MPa)黑色 dn125 5.8M(IDN)</v>
          </cell>
          <cell r="E1937" t="str">
            <v>Pipa HDPE Polyethylene untuk Suplai Air (2.0 MPa) Warna Hitam dn125 5.8M(IDN)</v>
          </cell>
          <cell r="F1937">
            <v>1</v>
          </cell>
          <cell r="G1937">
            <v>1460432</v>
          </cell>
          <cell r="H1937">
            <v>1315705</v>
          </cell>
        </row>
        <row r="1937">
          <cell r="J1937" t="str">
            <v/>
          </cell>
        </row>
        <row r="1938">
          <cell r="C1938">
            <v>8010036713</v>
          </cell>
          <cell r="D1938" t="str">
            <v>给水用聚乙烯HDPE直管(2.0MPa)黑色 dn125 6M(IDN)</v>
          </cell>
          <cell r="E1938" t="str">
            <v>Pipa HDPE Polyethylene untuk Suplai Air (2.0 MPa) Warna Hitam dn125 6M(IDN)</v>
          </cell>
          <cell r="F1938">
            <v>1</v>
          </cell>
          <cell r="G1938">
            <v>1510802</v>
          </cell>
          <cell r="H1938">
            <v>1361083</v>
          </cell>
        </row>
        <row r="1938">
          <cell r="J1938" t="str">
            <v/>
          </cell>
        </row>
        <row r="1939">
          <cell r="C1939">
            <v>8010036714</v>
          </cell>
          <cell r="D1939" t="str">
            <v>给水用聚乙烯HDPE直管(2.0MPa)黑色 dn125 11.8M(IDN)</v>
          </cell>
          <cell r="E1939" t="str">
            <v>Pipa HDPE Polyethylene untuk Suplai Air (2.0 MPa) Warna Hitam dn125 11.8M(IDN)</v>
          </cell>
          <cell r="F1939">
            <v>1</v>
          </cell>
          <cell r="G1939">
            <v>2971235</v>
          </cell>
          <cell r="H1939">
            <v>2676789</v>
          </cell>
        </row>
        <row r="1939">
          <cell r="J1939" t="str">
            <v/>
          </cell>
        </row>
        <row r="1940">
          <cell r="C1940">
            <v>8010036715</v>
          </cell>
          <cell r="D1940" t="str">
            <v>给水用聚乙烯HDPE直管(2.0MPa)黑色 dn125 12M(IDN)</v>
          </cell>
          <cell r="E1940" t="str">
            <v>Pipa HDPE Polyethylene untuk Suplai Air (2.0 MPa) Warna Hitam dn125 12M(IDN)</v>
          </cell>
          <cell r="F1940">
            <v>1</v>
          </cell>
          <cell r="G1940">
            <v>3021605</v>
          </cell>
          <cell r="H1940">
            <v>2722167</v>
          </cell>
        </row>
        <row r="1940">
          <cell r="J1940" t="str">
            <v/>
          </cell>
        </row>
        <row r="1941">
          <cell r="C1941">
            <v>8010036716</v>
          </cell>
          <cell r="D1941" t="str">
            <v>给水用聚乙烯HDPE直管(2.5MPa)黑色 dn125 5.8M(IDN)</v>
          </cell>
          <cell r="E1941" t="str">
            <v>Pipa HDPE Polyethylene untuk Suplai Air (2.5 MPa) Warna Hitam dn125 5.8M(IDN)</v>
          </cell>
          <cell r="F1941">
            <v>1</v>
          </cell>
          <cell r="G1941">
            <v>1694042</v>
          </cell>
          <cell r="H1941">
            <v>1526164</v>
          </cell>
        </row>
        <row r="1941">
          <cell r="J1941" t="str">
            <v/>
          </cell>
        </row>
        <row r="1942">
          <cell r="C1942">
            <v>8010036717</v>
          </cell>
          <cell r="D1942" t="str">
            <v>给水用聚乙烯HDPE直管(2.5MPa)黑色 dn125 6M(IDN)</v>
          </cell>
          <cell r="E1942" t="str">
            <v>Pipa HDPE Polyethylene untuk Suplai Air (2.5 MPa) Warna Hitam dn125 6M(IDN)</v>
          </cell>
          <cell r="F1942">
            <v>1</v>
          </cell>
          <cell r="G1942">
            <v>1752457</v>
          </cell>
          <cell r="H1942">
            <v>1578791</v>
          </cell>
        </row>
        <row r="1942">
          <cell r="J1942" t="str">
            <v/>
          </cell>
        </row>
        <row r="1943">
          <cell r="C1943">
            <v>8010036718</v>
          </cell>
          <cell r="D1943" t="str">
            <v>给水用聚乙烯HDPE直管(2.5MPa)黑色 dn125 11.8M(IDN)</v>
          </cell>
          <cell r="E1943" t="str">
            <v>Pipa HDPE Polyethylene untuk Suplai Air (2.5 MPa) Warna Hitam dn125 11.8M(IDN)</v>
          </cell>
          <cell r="F1943">
            <v>1</v>
          </cell>
          <cell r="G1943">
            <v>3446499</v>
          </cell>
          <cell r="H1943">
            <v>3104955</v>
          </cell>
        </row>
        <row r="1943">
          <cell r="J1943" t="str">
            <v/>
          </cell>
        </row>
        <row r="1944">
          <cell r="C1944">
            <v>8010036719</v>
          </cell>
          <cell r="D1944" t="str">
            <v>给水用聚乙烯HDPE直管(2.5MPa)黑色 dn125 12M(IDN)</v>
          </cell>
          <cell r="E1944" t="str">
            <v>Pipa HDPE Polyethylene untuk Suplai Air (2.5 MPa) Warna Hitam dn125 12M(IDN)</v>
          </cell>
          <cell r="F1944">
            <v>1</v>
          </cell>
          <cell r="G1944">
            <v>3504914</v>
          </cell>
          <cell r="H1944">
            <v>3157581</v>
          </cell>
        </row>
        <row r="1944">
          <cell r="J1944" t="str">
            <v/>
          </cell>
        </row>
        <row r="1945">
          <cell r="C1945">
            <v>8010036720</v>
          </cell>
          <cell r="D1945" t="str">
            <v>给水用聚乙烯HDPE直管(0.6MPa)黑色 dn140 5.8M(IDN)</v>
          </cell>
          <cell r="E1945" t="str">
            <v>Pipa HDPE Polyethylene untuk Suplai Air (0.6 MPa) Warna Hitam dn140 5.8M(IDN)</v>
          </cell>
          <cell r="F1945">
            <v>1</v>
          </cell>
          <cell r="G1945">
            <v>693091</v>
          </cell>
          <cell r="H1945">
            <v>624407</v>
          </cell>
        </row>
        <row r="1945">
          <cell r="J1945" t="str">
            <v/>
          </cell>
        </row>
        <row r="1946">
          <cell r="C1946">
            <v>8010036721</v>
          </cell>
          <cell r="D1946" t="str">
            <v>给水用聚乙烯HDPE直管(0.6MPa)黑色 dn140 6M(IDN)</v>
          </cell>
          <cell r="E1946" t="str">
            <v>Pipa HDPE Polyethylene untuk Suplai Air (0.6 MPa) Warna Hitam dn140 6M(IDN)</v>
          </cell>
          <cell r="F1946">
            <v>1</v>
          </cell>
          <cell r="G1946">
            <v>716970</v>
          </cell>
          <cell r="H1946">
            <v>645919</v>
          </cell>
        </row>
        <row r="1946">
          <cell r="J1946" t="str">
            <v/>
          </cell>
        </row>
        <row r="1947">
          <cell r="C1947">
            <v>8010036722</v>
          </cell>
          <cell r="D1947" t="str">
            <v>给水用聚乙烯HDPE直管(0.6MPa)黑色 dn140 11.8M(IDN)</v>
          </cell>
          <cell r="E1947" t="str">
            <v>Pipa HDPE Polyethylene untuk Suplai Air (0.6 MPa) Warna Hitam dn140 11.8M(IDN)</v>
          </cell>
          <cell r="F1947">
            <v>1</v>
          </cell>
          <cell r="G1947">
            <v>1410062</v>
          </cell>
          <cell r="H1947">
            <v>1270327</v>
          </cell>
        </row>
        <row r="1947">
          <cell r="J1947" t="str">
            <v/>
          </cell>
        </row>
        <row r="1948">
          <cell r="C1948">
            <v>8010036723</v>
          </cell>
          <cell r="D1948" t="str">
            <v>给水用聚乙烯HDPE直管(0.6MPa)黑色 dn140 12M(IDN)</v>
          </cell>
          <cell r="E1948" t="str">
            <v>Pipa HDPE Polyethylene untuk Suplai Air (0.6 MPa) Warna Hitam dn140 12M(IDN)</v>
          </cell>
          <cell r="F1948">
            <v>1</v>
          </cell>
          <cell r="G1948">
            <v>1433940</v>
          </cell>
          <cell r="H1948">
            <v>1291838</v>
          </cell>
        </row>
        <row r="1948">
          <cell r="J1948" t="str">
            <v/>
          </cell>
        </row>
        <row r="1949">
          <cell r="C1949">
            <v>8010036724</v>
          </cell>
          <cell r="D1949" t="str">
            <v>给水用聚乙烯HDPE直管(0.8MPa)黑色 dn140 5.8M(IDN)</v>
          </cell>
          <cell r="E1949" t="str">
            <v>Pipa HDPE Polyethylene untuk Suplai Air (0.8 MPa) Warna Hitam dn140 5.8M(IDN)</v>
          </cell>
          <cell r="F1949">
            <v>1</v>
          </cell>
          <cell r="G1949">
            <v>847021</v>
          </cell>
          <cell r="H1949">
            <v>763082</v>
          </cell>
        </row>
        <row r="1949">
          <cell r="J1949" t="str">
            <v/>
          </cell>
        </row>
        <row r="1950">
          <cell r="C1950">
            <v>8010036725</v>
          </cell>
          <cell r="D1950" t="str">
            <v>给水用聚乙烯HDPE直管(0.8MPa)黑色 dn140 6M(IDN)</v>
          </cell>
          <cell r="E1950" t="str">
            <v>Pipa HDPE Polyethylene untuk Suplai Air (0.8 MPa) Warna Hitam dn140 6M(IDN)</v>
          </cell>
          <cell r="F1950">
            <v>1</v>
          </cell>
          <cell r="G1950">
            <v>876228</v>
          </cell>
          <cell r="H1950">
            <v>789395</v>
          </cell>
        </row>
        <row r="1950">
          <cell r="J1950" t="str">
            <v/>
          </cell>
        </row>
        <row r="1951">
          <cell r="C1951">
            <v>8010036726</v>
          </cell>
          <cell r="D1951" t="str">
            <v>给水用聚乙烯HDPE直管(0.8MPa)黑色 dn140 11.8M(IDN)</v>
          </cell>
          <cell r="E1951" t="str">
            <v>Pipa HDPE Polyethylene untuk Suplai Air (0.8 MPa) Warna Hitam dn140 11.8M(IDN)</v>
          </cell>
          <cell r="F1951">
            <v>1</v>
          </cell>
          <cell r="G1951">
            <v>1723249</v>
          </cell>
          <cell r="H1951">
            <v>1552477</v>
          </cell>
        </row>
        <row r="1951">
          <cell r="J1951" t="str">
            <v/>
          </cell>
        </row>
        <row r="1952">
          <cell r="C1952">
            <v>8010036727</v>
          </cell>
          <cell r="D1952" t="str">
            <v>给水用聚乙烯HDPE直管(0.8MPa)黑色 dn140 12M(IDN)</v>
          </cell>
          <cell r="E1952" t="str">
            <v>Pipa HDPE Polyethylene untuk Suplai Air (0.8 MPa) Warna Hitam dn140 12M(IDN)</v>
          </cell>
          <cell r="F1952">
            <v>1</v>
          </cell>
          <cell r="G1952">
            <v>1752457</v>
          </cell>
          <cell r="H1952">
            <v>1578791</v>
          </cell>
        </row>
        <row r="1952">
          <cell r="J1952" t="str">
            <v/>
          </cell>
        </row>
        <row r="1953">
          <cell r="C1953">
            <v>8010036732</v>
          </cell>
          <cell r="D1953" t="str">
            <v>给水用聚乙烯HDPE直管(1.25MPa)黑色 dn140 5.8M(IDN)</v>
          </cell>
          <cell r="E1953" t="str">
            <v>Pipa HDPE Polyethylene untuk Suplai Air (1.25 MPa) Warna Hitam dn140 5.8M(IDN)</v>
          </cell>
          <cell r="F1953">
            <v>1</v>
          </cell>
          <cell r="G1953">
            <v>1263409</v>
          </cell>
          <cell r="H1953">
            <v>1138207</v>
          </cell>
        </row>
        <row r="1953">
          <cell r="J1953" t="str">
            <v/>
          </cell>
        </row>
        <row r="1954">
          <cell r="C1954">
            <v>8010036733</v>
          </cell>
          <cell r="D1954" t="str">
            <v>给水用聚乙烯HDPE直管(1.25MPa)黑色 dn140 6M(IDN)</v>
          </cell>
          <cell r="E1954" t="str">
            <v>Pipa HDPE Polyethylene untuk Suplai Air (1.25 MPa) Warna Hitam dn140 6M(IDN)</v>
          </cell>
          <cell r="F1954">
            <v>1</v>
          </cell>
          <cell r="G1954">
            <v>1306964</v>
          </cell>
          <cell r="H1954">
            <v>1177446</v>
          </cell>
        </row>
        <row r="1954">
          <cell r="J1954" t="str">
            <v/>
          </cell>
        </row>
        <row r="1955">
          <cell r="C1955">
            <v>8010036734</v>
          </cell>
          <cell r="D1955" t="str">
            <v>给水用聚乙烯HDPE直管(1.25MPa)黑色 dn140 11.8M(IDN)</v>
          </cell>
          <cell r="E1955" t="str">
            <v>Pipa HDPE Polyethylene untuk Suplai Air (1.25 MPa) Warna Hitam dn140 11.8M(IDN)</v>
          </cell>
          <cell r="F1955">
            <v>1</v>
          </cell>
          <cell r="G1955">
            <v>2570373</v>
          </cell>
          <cell r="H1955">
            <v>2315652</v>
          </cell>
        </row>
        <row r="1955">
          <cell r="J1955" t="str">
            <v/>
          </cell>
        </row>
        <row r="1956">
          <cell r="C1956">
            <v>8010036735</v>
          </cell>
          <cell r="D1956" t="str">
            <v>给水用聚乙烯HDPE直管(1.25MPa)黑色 dn140 12M(IDN)</v>
          </cell>
          <cell r="E1956" t="str">
            <v>Pipa HDPE Polyethylene untuk Suplai Air (1.25 MPa) Warna Hitam dn140 12M(IDN)</v>
          </cell>
          <cell r="F1956">
            <v>1</v>
          </cell>
          <cell r="G1956">
            <v>2613928</v>
          </cell>
          <cell r="H1956">
            <v>2354891</v>
          </cell>
        </row>
        <row r="1956">
          <cell r="J1956" t="str">
            <v/>
          </cell>
        </row>
        <row r="1957">
          <cell r="C1957">
            <v>8010036736</v>
          </cell>
          <cell r="D1957" t="str">
            <v>给水用聚乙烯HDPE直管(1.6MPa)黑色 dn140 5.8M(IDN)</v>
          </cell>
          <cell r="E1957" t="str">
            <v>Pipa HDPE Polyethylene untuk Suplai Air (1.6 MPa) Warna Hitam dn140 5.8M(IDN)</v>
          </cell>
          <cell r="F1957">
            <v>1</v>
          </cell>
          <cell r="G1957">
            <v>1523459</v>
          </cell>
          <cell r="H1957">
            <v>1372486</v>
          </cell>
        </row>
        <row r="1957">
          <cell r="J1957" t="str">
            <v/>
          </cell>
        </row>
        <row r="1958">
          <cell r="C1958">
            <v>8010036737</v>
          </cell>
          <cell r="D1958" t="str">
            <v>给水用聚乙烯HDPE直管(1.6MPa)黑色 dn140 6M(IDN)</v>
          </cell>
          <cell r="E1958" t="str">
            <v>Pipa HDPE Polyethylene untuk Suplai Air (1.6 MPa) Warna Hitam dn140 6M(IDN)</v>
          </cell>
          <cell r="F1958">
            <v>1</v>
          </cell>
          <cell r="G1958">
            <v>1575981</v>
          </cell>
          <cell r="H1958">
            <v>1419803</v>
          </cell>
        </row>
        <row r="1958">
          <cell r="J1958" t="str">
            <v/>
          </cell>
        </row>
        <row r="1959">
          <cell r="C1959">
            <v>8010036738</v>
          </cell>
          <cell r="D1959" t="str">
            <v>给水用聚乙烯HDPE直管(1.6MPa)黑色 dn140 11.8M(IDN)</v>
          </cell>
          <cell r="E1959" t="str">
            <v>Pipa HDPE Polyethylene untuk Suplai Air (1.6 MPa) Warna Hitam dn140 11.8M(IDN)</v>
          </cell>
          <cell r="F1959">
            <v>1</v>
          </cell>
          <cell r="G1959">
            <v>3099441</v>
          </cell>
          <cell r="H1959">
            <v>2792290</v>
          </cell>
        </row>
        <row r="1959">
          <cell r="J1959" t="str">
            <v/>
          </cell>
        </row>
        <row r="1960">
          <cell r="C1960">
            <v>8010036739</v>
          </cell>
          <cell r="D1960" t="str">
            <v>给水用聚乙烯HDPE直管(1.6MPa)黑色 dn140 12M(IDN)</v>
          </cell>
          <cell r="E1960" t="str">
            <v>Pipa HDPE Polyethylene untuk Suplai Air (1.6 MPa) Warna Hitam dn140 12M(IDN)</v>
          </cell>
          <cell r="F1960">
            <v>1</v>
          </cell>
          <cell r="G1960">
            <v>3151963</v>
          </cell>
          <cell r="H1960">
            <v>2839607</v>
          </cell>
        </row>
        <row r="1960">
          <cell r="J1960" t="str">
            <v/>
          </cell>
        </row>
        <row r="1961">
          <cell r="C1961">
            <v>8010036740</v>
          </cell>
          <cell r="D1961" t="str">
            <v>给水用聚乙烯HDPE直管(2.0MPa)黑色 dn140 5.8M(IDN)</v>
          </cell>
          <cell r="E1961" t="str">
            <v>Pipa HDPE Polyethylene untuk Suplai Air (2.0 MPa) Warna Hitam dn140 5.8M(IDN)</v>
          </cell>
          <cell r="F1961">
            <v>1</v>
          </cell>
          <cell r="G1961">
            <v>1834904</v>
          </cell>
          <cell r="H1961">
            <v>1653067</v>
          </cell>
        </row>
        <row r="1961">
          <cell r="J1961" t="str">
            <v/>
          </cell>
        </row>
        <row r="1962">
          <cell r="C1962">
            <v>8010036741</v>
          </cell>
          <cell r="D1962" t="str">
            <v>给水用聚乙烯HDPE直管(2.0MPa)黑色 dn140 6M(IDN)</v>
          </cell>
          <cell r="E1962" t="str">
            <v>Pipa HDPE Polyethylene untuk Suplai Air (2.0 MPa) Warna Hitam dn140 6M(IDN)</v>
          </cell>
          <cell r="F1962">
            <v>1</v>
          </cell>
          <cell r="G1962">
            <v>1898188</v>
          </cell>
          <cell r="H1962">
            <v>1710080</v>
          </cell>
        </row>
        <row r="1962">
          <cell r="J1962" t="str">
            <v/>
          </cell>
        </row>
        <row r="1963">
          <cell r="C1963">
            <v>8010036742</v>
          </cell>
          <cell r="D1963" t="str">
            <v>给水用聚乙烯HDPE直管(2.0MPa)黑色 dn140 11.8M(IDN)</v>
          </cell>
          <cell r="E1963" t="str">
            <v>Pipa HDPE Polyethylene untuk Suplai Air (2.0 MPa) Warna Hitam dn140 11.8M(IDN)</v>
          </cell>
          <cell r="F1963">
            <v>1</v>
          </cell>
          <cell r="G1963">
            <v>3733092</v>
          </cell>
          <cell r="H1963">
            <v>3363146</v>
          </cell>
        </row>
        <row r="1963">
          <cell r="J1963" t="str">
            <v/>
          </cell>
        </row>
        <row r="1964">
          <cell r="C1964">
            <v>8010036743</v>
          </cell>
          <cell r="D1964" t="str">
            <v>给水用聚乙烯HDPE直管(2.0MPa)黑色 dn140 12M(IDN)</v>
          </cell>
          <cell r="E1964" t="str">
            <v>Pipa HDPE Polyethylene untuk Suplai Air (2.0 MPa) Warna Hitam dn140 12M(IDN)</v>
          </cell>
          <cell r="F1964">
            <v>1</v>
          </cell>
          <cell r="G1964">
            <v>3796375</v>
          </cell>
          <cell r="H1964">
            <v>3420158</v>
          </cell>
        </row>
        <row r="1964">
          <cell r="J1964" t="str">
            <v/>
          </cell>
        </row>
        <row r="1965">
          <cell r="C1965">
            <v>8010036744</v>
          </cell>
          <cell r="D1965" t="str">
            <v>给水用聚乙烯HDPE直管(2.5MPa)黑色 dn140 5.8M(IDN)</v>
          </cell>
          <cell r="E1965" t="str">
            <v>Pipa HDPE Polyethylene untuk Suplai Air (2.5 MPa) Warna Hitam dn140 5.8M(IDN)</v>
          </cell>
          <cell r="F1965">
            <v>1</v>
          </cell>
          <cell r="G1965">
            <v>2177863</v>
          </cell>
          <cell r="H1965">
            <v>1962039</v>
          </cell>
        </row>
        <row r="1965">
          <cell r="J1965" t="str">
            <v/>
          </cell>
        </row>
        <row r="1966">
          <cell r="C1966">
            <v>8010036745</v>
          </cell>
          <cell r="D1966" t="str">
            <v>给水用聚乙烯HDPE直管(2.5MPa)黑色 dn140 6M(IDN)</v>
          </cell>
          <cell r="E1966" t="str">
            <v>Pipa HDPE Polyethylene untuk Suplai Air (2.5 MPa) Warna Hitam dn140 6M(IDN)</v>
          </cell>
          <cell r="F1966">
            <v>1</v>
          </cell>
          <cell r="G1966">
            <v>2252983</v>
          </cell>
          <cell r="H1966">
            <v>2029715</v>
          </cell>
        </row>
        <row r="1966">
          <cell r="J1966" t="str">
            <v/>
          </cell>
        </row>
        <row r="1967">
          <cell r="C1967">
            <v>8010036746</v>
          </cell>
          <cell r="D1967" t="str">
            <v>给水用聚乙烯HDPE直管(2.5MPa)黑色 dn140 11.8M(IDN)</v>
          </cell>
          <cell r="E1967" t="str">
            <v>Pipa HDPE Polyethylene untuk Suplai Air (2.5 MPa) Warna Hitam dn140 11.8M(IDN)</v>
          </cell>
          <cell r="F1967">
            <v>1</v>
          </cell>
          <cell r="G1967">
            <v>4430847</v>
          </cell>
          <cell r="H1967">
            <v>3991755</v>
          </cell>
        </row>
        <row r="1967">
          <cell r="J1967" t="str">
            <v/>
          </cell>
        </row>
        <row r="1968">
          <cell r="C1968">
            <v>8010036747</v>
          </cell>
          <cell r="D1968" t="str">
            <v>给水用聚乙烯HDPE直管(2.5MPa)黑色 dn140 12M(IDN)</v>
          </cell>
          <cell r="E1968" t="str">
            <v>Pipa HDPE Polyethylene untuk Suplai Air (2.5 MPa) Warna Hitam dn140 12M(IDN)</v>
          </cell>
          <cell r="F1968">
            <v>1</v>
          </cell>
          <cell r="G1968">
            <v>4505967</v>
          </cell>
          <cell r="H1968">
            <v>4059430</v>
          </cell>
        </row>
        <row r="1968">
          <cell r="J1968" t="str">
            <v/>
          </cell>
        </row>
        <row r="1969">
          <cell r="C1969">
            <v>8010036748</v>
          </cell>
          <cell r="D1969" t="str">
            <v>给水用聚乙烯HDPE直管(0.6MPa)黑色 dn160 5.8M(IDN)</v>
          </cell>
          <cell r="E1969" t="str">
            <v>Pipa HDPE Polyethylene untuk Suplai Air (0.6 MPa) Warna Hitam dn160 5.8M(IDN)</v>
          </cell>
          <cell r="F1969">
            <v>1</v>
          </cell>
          <cell r="G1969">
            <v>908818</v>
          </cell>
          <cell r="H1969">
            <v>818755</v>
          </cell>
        </row>
        <row r="1969">
          <cell r="J1969" t="str">
            <v/>
          </cell>
        </row>
        <row r="1970">
          <cell r="C1970">
            <v>8010036749</v>
          </cell>
          <cell r="D1970" t="str">
            <v>给水用聚乙烯HDPE直管(0.6MPa)黑色 dn160 6M(IDN)</v>
          </cell>
          <cell r="E1970" t="str">
            <v>Pipa HDPE Polyethylene untuk Suplai Air (0.6 MPa) Warna Hitam dn160 6M(IDN)</v>
          </cell>
          <cell r="F1970">
            <v>1</v>
          </cell>
          <cell r="G1970">
            <v>940178</v>
          </cell>
          <cell r="H1970">
            <v>847008</v>
          </cell>
        </row>
        <row r="1970">
          <cell r="J1970" t="str">
            <v/>
          </cell>
        </row>
        <row r="1971">
          <cell r="C1971">
            <v>8010036750</v>
          </cell>
          <cell r="D1971" t="str">
            <v>给水用聚乙烯HDPE直管(0.6MPa)黑色 dn160 11.8M(IDN)</v>
          </cell>
          <cell r="E1971" t="str">
            <v>Pipa HDPE Polyethylene untuk Suplai Air (0.6 MPa) Warna Hitam dn160 11.8M(IDN)</v>
          </cell>
          <cell r="F1971">
            <v>1</v>
          </cell>
          <cell r="G1971">
            <v>1848996</v>
          </cell>
          <cell r="H1971">
            <v>1665763</v>
          </cell>
        </row>
        <row r="1971">
          <cell r="J1971" t="str">
            <v/>
          </cell>
        </row>
        <row r="1972">
          <cell r="C1972">
            <v>8010036751</v>
          </cell>
          <cell r="D1972" t="str">
            <v>给水用聚乙烯HDPE直管(0.6MPa)黑色 dn160 12M(IDN)</v>
          </cell>
          <cell r="E1972" t="str">
            <v>Pipa HDPE Polyethylene untuk Suplai Air (0.6 MPa) Warna Hitam dn160 12M(IDN)</v>
          </cell>
          <cell r="F1972">
            <v>1</v>
          </cell>
          <cell r="G1972">
            <v>1880356</v>
          </cell>
          <cell r="H1972">
            <v>1694015</v>
          </cell>
        </row>
        <row r="1972">
          <cell r="J1972" t="str">
            <v/>
          </cell>
        </row>
        <row r="1973">
          <cell r="C1973">
            <v>8010036752</v>
          </cell>
          <cell r="D1973" t="str">
            <v>给水用聚乙烯HDPE直管(0.8MPa)黑色 dn160 5.8M(IDN)</v>
          </cell>
          <cell r="E1973" t="str">
            <v>Pipa HDPE Polyethylene untuk Suplai Air (0.8 MPa) Warna Hitam dn160 5.8M(IDN)</v>
          </cell>
          <cell r="F1973">
            <v>1</v>
          </cell>
          <cell r="G1973">
            <v>1110914</v>
          </cell>
          <cell r="H1973">
            <v>1000824</v>
          </cell>
        </row>
        <row r="1973">
          <cell r="J1973" t="str">
            <v/>
          </cell>
        </row>
        <row r="1974">
          <cell r="C1974">
            <v>8010036753</v>
          </cell>
          <cell r="D1974" t="str">
            <v>给水用聚乙烯HDPE直管(0.8MPa)黑色 dn160 6M(IDN)</v>
          </cell>
          <cell r="E1974" t="str">
            <v>Pipa HDPE Polyethylene untuk Suplai Air (0.8 MPa) Warna Hitam dn160 6M(IDN)</v>
          </cell>
          <cell r="F1974">
            <v>1</v>
          </cell>
          <cell r="G1974">
            <v>1149243</v>
          </cell>
          <cell r="H1974">
            <v>1035355</v>
          </cell>
        </row>
        <row r="1974">
          <cell r="J1974" t="str">
            <v/>
          </cell>
        </row>
        <row r="1975">
          <cell r="C1975">
            <v>8010036754</v>
          </cell>
          <cell r="D1975" t="str">
            <v>给水用聚乙烯HDPE直管(0.8MPa)黑色 dn160 11.8M(IDN)</v>
          </cell>
          <cell r="E1975" t="str">
            <v>Pipa HDPE Polyethylene untuk Suplai Air (0.8 MPa) Warna Hitam dn160 11.8M(IDN)</v>
          </cell>
          <cell r="F1975">
            <v>1</v>
          </cell>
          <cell r="G1975">
            <v>2260157</v>
          </cell>
          <cell r="H1975">
            <v>2036178</v>
          </cell>
        </row>
        <row r="1975">
          <cell r="J1975" t="str">
            <v/>
          </cell>
        </row>
        <row r="1976">
          <cell r="C1976">
            <v>8010036755</v>
          </cell>
          <cell r="D1976" t="str">
            <v>给水用聚乙烯HDPE直管(0.8MPa)黑色 dn160 12M(IDN)</v>
          </cell>
          <cell r="E1976" t="str">
            <v>Pipa HDPE Polyethylene untuk Suplai Air (0.8 MPa) Warna Hitam dn160 12M(IDN)</v>
          </cell>
          <cell r="F1976">
            <v>1</v>
          </cell>
          <cell r="G1976">
            <v>2298486</v>
          </cell>
          <cell r="H1976">
            <v>2070709</v>
          </cell>
        </row>
        <row r="1976">
          <cell r="J1976" t="str">
            <v/>
          </cell>
        </row>
        <row r="1977">
          <cell r="C1977">
            <v>8010036760</v>
          </cell>
          <cell r="D1977" t="str">
            <v>给水用聚乙烯HDPE直管(1.25MPa)黑色 dn160 5.8M(IDN)</v>
          </cell>
          <cell r="E1977" t="str">
            <v>Pipa HDPE Polyethylene untuk Suplai Air (1.25 MPa) Warna Hitam dn160 5.8M(IDN)</v>
          </cell>
          <cell r="F1977">
            <v>1</v>
          </cell>
          <cell r="G1977">
            <v>1649154</v>
          </cell>
          <cell r="H1977">
            <v>1485725</v>
          </cell>
        </row>
        <row r="1977">
          <cell r="J1977" t="str">
            <v/>
          </cell>
        </row>
        <row r="1978">
          <cell r="C1978">
            <v>8010036761</v>
          </cell>
          <cell r="D1978" t="str">
            <v>给水用聚乙烯HDPE直管(1.25MPa)黑色 dn160 6M(IDN)</v>
          </cell>
          <cell r="E1978" t="str">
            <v>Pipa HDPE Polyethylene untuk Suplai Air (1.25 MPa) Warna Hitam dn160 6M(IDN)</v>
          </cell>
          <cell r="F1978">
            <v>1</v>
          </cell>
          <cell r="G1978">
            <v>1706032</v>
          </cell>
          <cell r="H1978">
            <v>1536966</v>
          </cell>
        </row>
        <row r="1978">
          <cell r="J1978" t="str">
            <v/>
          </cell>
        </row>
        <row r="1979">
          <cell r="C1979">
            <v>8010036762</v>
          </cell>
          <cell r="D1979" t="str">
            <v>给水用聚乙烯HDPE直管(1.25MPa)黑色 dn160 11.8M(IDN)</v>
          </cell>
          <cell r="E1979" t="str">
            <v>Pipa HDPE Polyethylene untuk Suplai Air (1.25 MPa) Warna Hitam dn160 11.8M(IDN)</v>
          </cell>
          <cell r="F1979">
            <v>1</v>
          </cell>
          <cell r="G1979">
            <v>3355187</v>
          </cell>
          <cell r="H1979">
            <v>3022691</v>
          </cell>
        </row>
        <row r="1979">
          <cell r="J1979" t="str">
            <v/>
          </cell>
        </row>
        <row r="1980">
          <cell r="C1980">
            <v>8010036763</v>
          </cell>
          <cell r="D1980" t="str">
            <v>给水用聚乙烯HDPE直管(1.25MPa)黑色 dn160 12M(IDN)</v>
          </cell>
          <cell r="E1980" t="str">
            <v>Pipa HDPE Polyethylene untuk Suplai Air (1.25 MPa) Warna Hitam dn160 12M(IDN)</v>
          </cell>
          <cell r="F1980">
            <v>1</v>
          </cell>
          <cell r="G1980">
            <v>3412065</v>
          </cell>
          <cell r="H1980">
            <v>3073933</v>
          </cell>
        </row>
        <row r="1980">
          <cell r="J1980" t="str">
            <v/>
          </cell>
        </row>
        <row r="1981">
          <cell r="C1981">
            <v>8010036764</v>
          </cell>
          <cell r="D1981" t="str">
            <v>给水用聚乙烯HDPE直管(1.6MPa)黑色 dn160 5.8M(IDN)</v>
          </cell>
          <cell r="E1981" t="str">
            <v>Pipa HDPE Polyethylene untuk Suplai Air (1.6 MPa) Warna Hitam dn160 5.8M(IDN)</v>
          </cell>
          <cell r="F1981">
            <v>1</v>
          </cell>
          <cell r="G1981">
            <v>1986477</v>
          </cell>
          <cell r="H1981">
            <v>1789619</v>
          </cell>
        </row>
        <row r="1981">
          <cell r="J1981" t="str">
            <v/>
          </cell>
        </row>
        <row r="1982">
          <cell r="C1982">
            <v>8010036765</v>
          </cell>
          <cell r="D1982" t="str">
            <v>给水用聚乙烯HDPE直管(1.6MPa)黑色 dn160 6M(IDN)</v>
          </cell>
          <cell r="E1982" t="str">
            <v>Pipa HDPE Polyethylene untuk Suplai Air (1.6 MPa) Warna Hitam dn160 6M(IDN)</v>
          </cell>
          <cell r="F1982">
            <v>1</v>
          </cell>
          <cell r="G1982">
            <v>2054986</v>
          </cell>
          <cell r="H1982">
            <v>1851339</v>
          </cell>
        </row>
        <row r="1982">
          <cell r="J1982" t="str">
            <v/>
          </cell>
        </row>
        <row r="1983">
          <cell r="C1983">
            <v>8010036766</v>
          </cell>
          <cell r="D1983" t="str">
            <v>给水用聚乙烯HDPE直管(1.6MPa)黑色 dn160 11.8M(IDN)</v>
          </cell>
          <cell r="E1983" t="str">
            <v>Pipa HDPE Polyethylene untuk Suplai Air (1.6 MPa) Warna Hitam dn160 11.8M(IDN)</v>
          </cell>
          <cell r="F1983">
            <v>1</v>
          </cell>
          <cell r="G1983">
            <v>4041463</v>
          </cell>
          <cell r="H1983">
            <v>3640958</v>
          </cell>
        </row>
        <row r="1983">
          <cell r="J1983" t="str">
            <v/>
          </cell>
        </row>
        <row r="1984">
          <cell r="C1984">
            <v>8010036767</v>
          </cell>
          <cell r="D1984" t="str">
            <v>给水用聚乙烯HDPE直管(1.6MPa)黑色 dn160 12M(IDN)</v>
          </cell>
          <cell r="E1984" t="str">
            <v>Pipa HDPE Polyethylene untuk Suplai Air (1.6 MPa) Warna Hitam dn160 12M(IDN)</v>
          </cell>
          <cell r="F1984">
            <v>1</v>
          </cell>
          <cell r="G1984">
            <v>4109973</v>
          </cell>
          <cell r="H1984">
            <v>3702679</v>
          </cell>
        </row>
        <row r="1984">
          <cell r="J1984" t="str">
            <v/>
          </cell>
        </row>
        <row r="1985">
          <cell r="C1985">
            <v>8010036768</v>
          </cell>
          <cell r="D1985" t="str">
            <v>给水用聚乙烯HDPE直管(2.0MPa)黑色 dn160 5.8M(IDN)</v>
          </cell>
          <cell r="E1985" t="str">
            <v>Pipa HDPE Polyethylene untuk Suplai Air (2.0 MPa) Warna Hitam dn160 5.8M(IDN)</v>
          </cell>
          <cell r="F1985">
            <v>1</v>
          </cell>
          <cell r="G1985">
            <v>2389183</v>
          </cell>
          <cell r="H1985">
            <v>2152418</v>
          </cell>
        </row>
        <row r="1985">
          <cell r="J1985" t="str">
            <v/>
          </cell>
        </row>
        <row r="1986">
          <cell r="C1986">
            <v>8010036769</v>
          </cell>
          <cell r="D1986" t="str">
            <v>给水用聚乙烯HDPE直管(2.0MPa)黑色 dn160 6M(IDN)</v>
          </cell>
          <cell r="E1986" t="str">
            <v>Pipa HDPE Polyethylene untuk Suplai Air (2.0 MPa) Warna Hitam dn160 6M(IDN)</v>
          </cell>
          <cell r="F1986">
            <v>1</v>
          </cell>
          <cell r="G1986">
            <v>2471579</v>
          </cell>
          <cell r="H1986">
            <v>2226648</v>
          </cell>
        </row>
        <row r="1986">
          <cell r="J1986" t="str">
            <v/>
          </cell>
        </row>
        <row r="1987">
          <cell r="C1987">
            <v>8010036770</v>
          </cell>
          <cell r="D1987" t="str">
            <v>给水用聚乙烯HDPE直管(2.0MPa)黑色 dn160 11.8M(IDN)</v>
          </cell>
          <cell r="E1987" t="str">
            <v>Pipa HDPE Polyethylene untuk Suplai Air (2.0 MPa) Warna Hitam dn160 11.8M(IDN)</v>
          </cell>
          <cell r="F1987">
            <v>1</v>
          </cell>
          <cell r="G1987">
            <v>4860763</v>
          </cell>
          <cell r="H1987">
            <v>4379066</v>
          </cell>
        </row>
        <row r="1987">
          <cell r="J1987" t="str">
            <v/>
          </cell>
        </row>
        <row r="1988">
          <cell r="C1988">
            <v>8010036771</v>
          </cell>
          <cell r="D1988" t="str">
            <v>给水用聚乙烯HDPE直管(2.0MPa)黑色 dn160 12M(IDN)</v>
          </cell>
          <cell r="E1988" t="str">
            <v>Pipa HDPE Polyethylene untuk Suplai Air (2.0 MPa) Warna Hitam dn160 12M(IDN)</v>
          </cell>
          <cell r="F1988">
            <v>1</v>
          </cell>
          <cell r="G1988">
            <v>4943159</v>
          </cell>
          <cell r="H1988">
            <v>4453297</v>
          </cell>
        </row>
        <row r="1988">
          <cell r="J1988" t="str">
            <v/>
          </cell>
        </row>
        <row r="1989">
          <cell r="C1989">
            <v>8010036772</v>
          </cell>
          <cell r="D1989" t="str">
            <v>给水用聚乙烯HDPE直管(2.5MPa)黑色 dn160 5.8M(IDN)</v>
          </cell>
          <cell r="E1989" t="str">
            <v>Pipa HDPE Polyethylene untuk Suplai Air (2.5 MPa) Warna Hitam dn160 5.8M(IDN)</v>
          </cell>
          <cell r="F1989">
            <v>1</v>
          </cell>
          <cell r="G1989">
            <v>2834984</v>
          </cell>
          <cell r="H1989">
            <v>2554040</v>
          </cell>
        </row>
        <row r="1989">
          <cell r="J1989" t="str">
            <v/>
          </cell>
        </row>
        <row r="1990">
          <cell r="C1990">
            <v>8010036773</v>
          </cell>
          <cell r="D1990" t="str">
            <v>给水用聚乙烯HDPE直管(2.5MPa)黑色 dn160 6M(IDN)</v>
          </cell>
          <cell r="E1990" t="str">
            <v>Pipa HDPE Polyethylene untuk Suplai Air (2.5 MPa) Warna Hitam dn160 6M(IDN)</v>
          </cell>
          <cell r="F1990">
            <v>1</v>
          </cell>
          <cell r="G1990">
            <v>2932752</v>
          </cell>
          <cell r="H1990">
            <v>2642119</v>
          </cell>
        </row>
        <row r="1990">
          <cell r="J1990" t="str">
            <v/>
          </cell>
        </row>
        <row r="1991">
          <cell r="C1991">
            <v>8010036774</v>
          </cell>
          <cell r="D1991" t="str">
            <v>给水用聚乙烯HDPE直管(2.5MPa)黑色 dn160 11.8M(IDN)</v>
          </cell>
          <cell r="E1991" t="str">
            <v>Pipa HDPE Polyethylene untuk Suplai Air (2.5 MPa) Warna Hitam dn160 11.8M(IDN)</v>
          </cell>
          <cell r="F1991">
            <v>1</v>
          </cell>
          <cell r="G1991">
            <v>5767736</v>
          </cell>
          <cell r="H1991">
            <v>5196159</v>
          </cell>
        </row>
        <row r="1991">
          <cell r="J1991" t="str">
            <v/>
          </cell>
        </row>
        <row r="1992">
          <cell r="C1992">
            <v>8010036775</v>
          </cell>
          <cell r="D1992" t="str">
            <v>给水用聚乙烯HDPE直管(2.5MPa)黑色 dn160 12M(IDN)</v>
          </cell>
          <cell r="E1992" t="str">
            <v>Pipa HDPE Polyethylene untuk Suplai Air (2.5 MPa) Warna Hitam dn160 12M(IDN)</v>
          </cell>
          <cell r="F1992">
            <v>1</v>
          </cell>
          <cell r="G1992">
            <v>5865505</v>
          </cell>
          <cell r="H1992">
            <v>5284239</v>
          </cell>
        </row>
        <row r="1992">
          <cell r="J1992" t="str">
            <v/>
          </cell>
        </row>
        <row r="1993">
          <cell r="C1993">
            <v>8010036776</v>
          </cell>
          <cell r="D1993" t="str">
            <v>给水用聚乙烯HDPE直管(0.6MPa)黑色 dn180 5.8M(IDN)</v>
          </cell>
          <cell r="E1993" t="str">
            <v>Pipa HDPE Polyethylene untuk Suplai Air (0.6 MPa) Warna Hitam dn180 5.8M(IDN)</v>
          </cell>
          <cell r="F1993">
            <v>1</v>
          </cell>
          <cell r="G1993">
            <v>1131718</v>
          </cell>
          <cell r="H1993">
            <v>1019566</v>
          </cell>
        </row>
        <row r="1993">
          <cell r="J1993" t="str">
            <v/>
          </cell>
        </row>
        <row r="1994">
          <cell r="C1994">
            <v>8010036777</v>
          </cell>
          <cell r="D1994" t="str">
            <v>给水用聚乙烯HDPE直管(0.6MPa)黑色 dn180 6M(IDN)</v>
          </cell>
          <cell r="E1994" t="str">
            <v>Pipa HDPE Polyethylene untuk Suplai Air (0.6 MPa) Warna Hitam dn180 6M(IDN)</v>
          </cell>
          <cell r="F1994">
            <v>1</v>
          </cell>
          <cell r="G1994">
            <v>1170764</v>
          </cell>
          <cell r="H1994">
            <v>1054743</v>
          </cell>
        </row>
        <row r="1994">
          <cell r="J1994" t="str">
            <v/>
          </cell>
        </row>
        <row r="1995">
          <cell r="C1995">
            <v>8010036778</v>
          </cell>
          <cell r="D1995" t="str">
            <v>给水用聚乙烯HDPE直管(0.6MPa)黑色 dn180 11.8M(IDN)</v>
          </cell>
          <cell r="E1995" t="str">
            <v>Pipa HDPE Polyethylene untuk Suplai Air (0.6 MPa) Warna Hitam dn180 11.8M(IDN)</v>
          </cell>
          <cell r="F1995">
            <v>1</v>
          </cell>
          <cell r="G1995">
            <v>2302483</v>
          </cell>
          <cell r="H1995">
            <v>2074310</v>
          </cell>
        </row>
        <row r="1995">
          <cell r="J1995" t="str">
            <v/>
          </cell>
        </row>
        <row r="1996">
          <cell r="C1996">
            <v>8010036779</v>
          </cell>
          <cell r="D1996" t="str">
            <v>给水用聚乙烯HDPE直管(0.6MPa)黑色 dn180 12M(IDN)</v>
          </cell>
          <cell r="E1996" t="str">
            <v>Pipa HDPE Polyethylene untuk Suplai Air (0.6 MPa) Warna Hitam dn180 12M(IDN)</v>
          </cell>
          <cell r="F1996">
            <v>1</v>
          </cell>
          <cell r="G1996">
            <v>2341529</v>
          </cell>
          <cell r="H1996">
            <v>2109486</v>
          </cell>
        </row>
        <row r="1996">
          <cell r="J1996" t="str">
            <v/>
          </cell>
        </row>
        <row r="1997">
          <cell r="C1997">
            <v>8010036780</v>
          </cell>
          <cell r="D1997" t="str">
            <v>给水用聚乙烯HDPE直管(0.8MPa)黑色 dn180 5.8M(IDN)</v>
          </cell>
          <cell r="E1997" t="str">
            <v>Pipa HDPE Polyethylene untuk Suplai Air (0.8 MPa) Warna Hitam dn180 5.8M(IDN)</v>
          </cell>
          <cell r="F1997">
            <v>1</v>
          </cell>
          <cell r="G1997">
            <v>1395970</v>
          </cell>
          <cell r="H1997">
            <v>1257631</v>
          </cell>
        </row>
        <row r="1997">
          <cell r="J1997" t="str">
            <v/>
          </cell>
        </row>
        <row r="1998">
          <cell r="C1998">
            <v>8010036781</v>
          </cell>
          <cell r="D1998" t="str">
            <v>给水用聚乙烯HDPE直管(0.8MPa)黑色 dn180 6M(IDN)</v>
          </cell>
          <cell r="E1998" t="str">
            <v>Pipa HDPE Polyethylene untuk Suplai Air (0.8 MPa) Warna Hitam dn180 6M(IDN)</v>
          </cell>
          <cell r="F1998">
            <v>1</v>
          </cell>
          <cell r="G1998">
            <v>1444086</v>
          </cell>
          <cell r="H1998">
            <v>1300979</v>
          </cell>
        </row>
        <row r="1998">
          <cell r="J1998" t="str">
            <v/>
          </cell>
        </row>
        <row r="1999">
          <cell r="C1999">
            <v>8010036782</v>
          </cell>
          <cell r="D1999" t="str">
            <v>给水用聚乙烯HDPE直管(0.8MPa)黑色 dn180 11.8M(IDN)</v>
          </cell>
          <cell r="E1999" t="str">
            <v>Pipa HDPE Polyethylene untuk Suplai Air (0.8 MPa) Warna Hitam dn180 11.8M(IDN)</v>
          </cell>
          <cell r="F1999">
            <v>1</v>
          </cell>
          <cell r="G1999">
            <v>2840056</v>
          </cell>
          <cell r="H1999">
            <v>2558610</v>
          </cell>
        </row>
        <row r="1999">
          <cell r="J1999" t="str">
            <v/>
          </cell>
        </row>
        <row r="2000">
          <cell r="C2000">
            <v>8010036783</v>
          </cell>
          <cell r="D2000" t="str">
            <v>给水用聚乙烯HDPE直管(0.8MPa)黑色 dn180 12M(IDN)</v>
          </cell>
          <cell r="E2000" t="str">
            <v>Pipa HDPE Polyethylene untuk Suplai Air (0.8 MPa) Warna Hitam dn180 12M(IDN)</v>
          </cell>
          <cell r="F2000">
            <v>1</v>
          </cell>
          <cell r="G2000">
            <v>2888172</v>
          </cell>
          <cell r="H2000">
            <v>2601957</v>
          </cell>
        </row>
        <row r="2000">
          <cell r="J2000" t="str">
            <v/>
          </cell>
        </row>
        <row r="2001">
          <cell r="C2001">
            <v>8010036788</v>
          </cell>
          <cell r="D2001" t="str">
            <v>给水用聚乙烯HDPE直管(1.25MPa)黑色 dn180 5.8M(IDN)</v>
          </cell>
          <cell r="E2001" t="str">
            <v>Pipa HDPE Polyethylene untuk Suplai Air (1.25 MPa) Warna Hitam dn180 5.8M(IDN)</v>
          </cell>
          <cell r="F2001">
            <v>1</v>
          </cell>
          <cell r="G2001">
            <v>2093161</v>
          </cell>
          <cell r="H2001">
            <v>1885731</v>
          </cell>
        </row>
        <row r="2001">
          <cell r="J2001" t="str">
            <v/>
          </cell>
        </row>
        <row r="2002">
          <cell r="C2002">
            <v>8010036789</v>
          </cell>
          <cell r="D2002" t="str">
            <v>给水用聚乙烯HDPE直管(1.25MPa)黑色 dn180 6M(IDN)</v>
          </cell>
          <cell r="E2002" t="str">
            <v>Pipa HDPE Polyethylene untuk Suplai Air (1.25 MPa) Warna Hitam dn180 6M(IDN)</v>
          </cell>
          <cell r="F2002">
            <v>1</v>
          </cell>
          <cell r="G2002">
            <v>2165360</v>
          </cell>
          <cell r="H2002">
            <v>1950775</v>
          </cell>
        </row>
        <row r="2002">
          <cell r="J2002" t="str">
            <v/>
          </cell>
        </row>
        <row r="2003">
          <cell r="C2003">
            <v>8010036790</v>
          </cell>
          <cell r="D2003" t="str">
            <v>给水用聚乙烯HDPE直管(1.25MPa)黑色 dn180 11.8M(IDN)</v>
          </cell>
          <cell r="E2003" t="str">
            <v>Pipa HDPE Polyethylene untuk Suplai Air (1.25 MPa) Warna Hitam dn180 11.8M(IDN)</v>
          </cell>
          <cell r="F2003">
            <v>1</v>
          </cell>
          <cell r="G2003">
            <v>4258522</v>
          </cell>
          <cell r="H2003">
            <v>3836507</v>
          </cell>
        </row>
        <row r="2003">
          <cell r="J2003" t="str">
            <v/>
          </cell>
        </row>
        <row r="2004">
          <cell r="C2004">
            <v>8010036791</v>
          </cell>
          <cell r="D2004" t="str">
            <v>给水用聚乙烯HDPE直管(1.25MPa)黑色 dn180 12M(IDN)</v>
          </cell>
          <cell r="E2004" t="str">
            <v>Pipa HDPE Polyethylene untuk Suplai Air (1.25 MPa) Warna Hitam dn180 12M(IDN)</v>
          </cell>
          <cell r="F2004">
            <v>1</v>
          </cell>
          <cell r="G2004">
            <v>4330721</v>
          </cell>
          <cell r="H2004">
            <v>3901551</v>
          </cell>
        </row>
        <row r="2004">
          <cell r="J2004" t="str">
            <v/>
          </cell>
        </row>
        <row r="2005">
          <cell r="C2005">
            <v>8010036792</v>
          </cell>
          <cell r="D2005" t="str">
            <v>给水用聚乙烯HDPE直管(1.6MPa)黑色 dn180 5.8M(IDN)</v>
          </cell>
          <cell r="E2005" t="str">
            <v>Pipa HDPE Polyethylene untuk Suplai Air (1.6 MPa) Warna Hitam dn180 5.8M(IDN)</v>
          </cell>
          <cell r="F2005">
            <v>1</v>
          </cell>
          <cell r="G2005">
            <v>2527074</v>
          </cell>
          <cell r="H2005">
            <v>2276644</v>
          </cell>
        </row>
        <row r="2005">
          <cell r="J2005" t="str">
            <v/>
          </cell>
        </row>
        <row r="2006">
          <cell r="C2006">
            <v>8010036793</v>
          </cell>
          <cell r="D2006" t="str">
            <v>给水用聚乙烯HDPE直管(1.6MPa)黑色 dn180 6M(IDN)</v>
          </cell>
          <cell r="E2006" t="str">
            <v>Pipa HDPE Polyethylene untuk Suplai Air (1.6 MPa) Warna Hitam dn180 6M(IDN)</v>
          </cell>
          <cell r="F2006">
            <v>1</v>
          </cell>
          <cell r="G2006">
            <v>2614235</v>
          </cell>
          <cell r="H2006">
            <v>2355167</v>
          </cell>
        </row>
        <row r="2006">
          <cell r="J2006" t="str">
            <v/>
          </cell>
        </row>
        <row r="2007">
          <cell r="C2007">
            <v>8010036794</v>
          </cell>
          <cell r="D2007" t="str">
            <v>给水用聚乙烯HDPE直管(1.6MPa)黑色 dn180 11.8M(IDN)</v>
          </cell>
          <cell r="E2007" t="str">
            <v>Pipa HDPE Polyethylene untuk Suplai Air (1.6 MPa) Warna Hitam dn180 11.8M(IDN)</v>
          </cell>
          <cell r="F2007">
            <v>1</v>
          </cell>
          <cell r="G2007">
            <v>5141309</v>
          </cell>
          <cell r="H2007">
            <v>4631810</v>
          </cell>
        </row>
        <row r="2007">
          <cell r="J2007" t="str">
            <v/>
          </cell>
        </row>
        <row r="2008">
          <cell r="C2008">
            <v>8010036795</v>
          </cell>
          <cell r="D2008" t="str">
            <v>给水用聚乙烯HDPE直管(1.6MPa)黑色 dn180 12M(IDN)</v>
          </cell>
          <cell r="E2008" t="str">
            <v>Pipa HDPE Polyethylene untuk Suplai Air (1.6 MPa) Warna Hitam dn180 12M(IDN)</v>
          </cell>
          <cell r="F2008">
            <v>1</v>
          </cell>
          <cell r="G2008">
            <v>5228471</v>
          </cell>
          <cell r="H2008">
            <v>4710335</v>
          </cell>
        </row>
        <row r="2008">
          <cell r="J2008" t="str">
            <v/>
          </cell>
        </row>
        <row r="2009">
          <cell r="C2009">
            <v>8010036796</v>
          </cell>
          <cell r="D2009" t="str">
            <v>给水用聚乙烯HDPE直管(2.0MPa)黑色 dn180 5.8M(IDN)</v>
          </cell>
          <cell r="E2009" t="str">
            <v>Pipa HDPE Polyethylene untuk Suplai Air (2.0 MPa) Warna Hitam dn180 5.8M(IDN)</v>
          </cell>
          <cell r="F2009">
            <v>1</v>
          </cell>
          <cell r="G2009">
            <v>3022835</v>
          </cell>
          <cell r="H2009">
            <v>2723275</v>
          </cell>
        </row>
        <row r="2009">
          <cell r="J2009" t="str">
            <v/>
          </cell>
        </row>
        <row r="2010">
          <cell r="C2010">
            <v>8010036797</v>
          </cell>
          <cell r="D2010" t="str">
            <v>给水用聚乙烯HDPE直管(2.0MPa)黑色 dn180 6M(IDN)</v>
          </cell>
          <cell r="E2010" t="str">
            <v>Pipa HDPE Polyethylene untuk Suplai Air (2.0 MPa) Warna Hitam dn180 6M(IDN)</v>
          </cell>
          <cell r="F2010">
            <v>1</v>
          </cell>
          <cell r="G2010">
            <v>3127060</v>
          </cell>
          <cell r="H2010">
            <v>2817172</v>
          </cell>
        </row>
        <row r="2010">
          <cell r="J2010" t="str">
            <v/>
          </cell>
        </row>
        <row r="2011">
          <cell r="C2011">
            <v>8010036798</v>
          </cell>
          <cell r="D2011" t="str">
            <v>给水用聚乙烯HDPE直管(2.0MPa)黑色 dn180 11.8M(IDN)</v>
          </cell>
          <cell r="E2011" t="str">
            <v>Pipa HDPE Polyethylene untuk Suplai Air (2.0 MPa) Warna Hitam dn180 11.8M(IDN)</v>
          </cell>
          <cell r="F2011">
            <v>1</v>
          </cell>
          <cell r="G2011">
            <v>6149895</v>
          </cell>
          <cell r="H2011">
            <v>5540446</v>
          </cell>
        </row>
        <row r="2011">
          <cell r="J2011" t="str">
            <v/>
          </cell>
        </row>
        <row r="2012">
          <cell r="C2012">
            <v>8010036799</v>
          </cell>
          <cell r="D2012" t="str">
            <v>给水用聚乙烯HDPE直管(2.0MPa)黑色 dn180 12M(IDN)</v>
          </cell>
          <cell r="E2012" t="str">
            <v>Pipa HDPE Polyethylene untuk Suplai Air (2.0 MPa) Warna Hitam dn180 12M(IDN)</v>
          </cell>
          <cell r="F2012">
            <v>1</v>
          </cell>
          <cell r="G2012">
            <v>6254120</v>
          </cell>
          <cell r="H2012">
            <v>5634343</v>
          </cell>
        </row>
        <row r="2012">
          <cell r="J2012" t="str">
            <v/>
          </cell>
        </row>
        <row r="2013">
          <cell r="C2013">
            <v>8010036800</v>
          </cell>
          <cell r="D2013" t="str">
            <v>给水用聚乙烯HDPE直管(2.5MPa)黑色 dn180 5.8M(IDN)</v>
          </cell>
          <cell r="E2013" t="str">
            <v>Pipa HDPE Polyethylene untuk Suplai Air (2.5 MPa) Warna Hitam dn180 5.8M(IDN)</v>
          </cell>
          <cell r="F2013">
            <v>1</v>
          </cell>
          <cell r="G2013">
            <v>3583928</v>
          </cell>
          <cell r="H2013">
            <v>3228764</v>
          </cell>
        </row>
        <row r="2013">
          <cell r="J2013" t="str">
            <v/>
          </cell>
        </row>
        <row r="2014">
          <cell r="C2014">
            <v>8010036801</v>
          </cell>
          <cell r="D2014" t="str">
            <v>给水用聚乙烯HDPE直管(2.5MPa)黑色 dn180 6M(IDN)</v>
          </cell>
          <cell r="E2014" t="str">
            <v>Pipa HDPE Polyethylene untuk Suplai Air (2.5 MPa) Warna Hitam dn180 6M(IDN)</v>
          </cell>
          <cell r="F2014">
            <v>1</v>
          </cell>
          <cell r="G2014">
            <v>3707523</v>
          </cell>
          <cell r="H2014">
            <v>3340111</v>
          </cell>
        </row>
        <row r="2014">
          <cell r="J2014" t="str">
            <v/>
          </cell>
        </row>
        <row r="2015">
          <cell r="C2015">
            <v>8010036802</v>
          </cell>
          <cell r="D2015" t="str">
            <v>给水用聚乙烯HDPE直管(2.5MPa)黑色 dn180 11.8M(IDN)</v>
          </cell>
          <cell r="E2015" t="str">
            <v>Pipa HDPE Polyethylene untuk Suplai Air (2.5 MPa) Warna Hitam dn180 11.8M(IDN)</v>
          </cell>
          <cell r="F2015">
            <v>1</v>
          </cell>
          <cell r="G2015">
            <v>7291451</v>
          </cell>
          <cell r="H2015">
            <v>6568875</v>
          </cell>
        </row>
        <row r="2015">
          <cell r="J2015" t="str">
            <v/>
          </cell>
        </row>
        <row r="2016">
          <cell r="C2016">
            <v>8010036803</v>
          </cell>
          <cell r="D2016" t="str">
            <v>给水用聚乙烯HDPE直管(2.5MPa)黑色 dn180 12M(IDN)</v>
          </cell>
          <cell r="E2016" t="str">
            <v>Pipa HDPE Polyethylene untuk Suplai Air (2.5 MPa) Warna Hitam dn180 12M(IDN)</v>
          </cell>
          <cell r="F2016">
            <v>1</v>
          </cell>
          <cell r="G2016">
            <v>7415046</v>
          </cell>
          <cell r="H2016">
            <v>6680222</v>
          </cell>
        </row>
        <row r="2016">
          <cell r="J2016" t="str">
            <v/>
          </cell>
        </row>
        <row r="2017">
          <cell r="C2017">
            <v>8010036804</v>
          </cell>
          <cell r="D2017" t="str">
            <v>给水用聚乙烯HDPE直管(0.6MPa)黑色 dn200 5.8M(IDN)</v>
          </cell>
          <cell r="E2017" t="str">
            <v>Pipa HDPE Polyethylene untuk Suplai Air (0.6 MPa) Warna Hitam dn200 5.8M(IDN)</v>
          </cell>
          <cell r="F2017">
            <v>1</v>
          </cell>
          <cell r="G2017">
            <v>1403400</v>
          </cell>
          <cell r="H2017">
            <v>1264325</v>
          </cell>
        </row>
        <row r="2017">
          <cell r="J2017" t="str">
            <v/>
          </cell>
        </row>
        <row r="2018">
          <cell r="C2018">
            <v>8010036805</v>
          </cell>
          <cell r="D2018" t="str">
            <v>给水用聚乙烯HDPE直管(0.6MPa)黑色 dn200 6M(IDN)</v>
          </cell>
          <cell r="E2018" t="str">
            <v>Pipa HDPE Polyethylene untuk Suplai Air (0.6 MPa) Warna Hitam dn200 6M(IDN)</v>
          </cell>
          <cell r="F2018">
            <v>1</v>
          </cell>
          <cell r="G2018">
            <v>1451772</v>
          </cell>
          <cell r="H2018">
            <v>1307903</v>
          </cell>
        </row>
        <row r="2018">
          <cell r="J2018" t="str">
            <v/>
          </cell>
        </row>
        <row r="2019">
          <cell r="C2019">
            <v>8010036806</v>
          </cell>
          <cell r="D2019" t="str">
            <v>给水用聚乙烯HDPE直管(0.6MPa)黑色 dn200 11.8M(IDN)</v>
          </cell>
          <cell r="E2019" t="str">
            <v>Pipa HDPE Polyethylene untuk Suplai Air (0.6 MPa) Warna Hitam dn200 11.8M(IDN)</v>
          </cell>
          <cell r="F2019">
            <v>1</v>
          </cell>
          <cell r="G2019">
            <v>2855173</v>
          </cell>
          <cell r="H2019">
            <v>2572228</v>
          </cell>
        </row>
        <row r="2019">
          <cell r="J2019" t="str">
            <v/>
          </cell>
        </row>
        <row r="2020">
          <cell r="C2020">
            <v>8010036807</v>
          </cell>
          <cell r="D2020" t="str">
            <v>给水用聚乙烯HDPE直管(0.6MPa)黑色 dn200 12M(IDN)</v>
          </cell>
          <cell r="E2020" t="str">
            <v>Pipa HDPE Polyethylene untuk Suplai Air (0.6 MPa) Warna Hitam dn200 12M(IDN)</v>
          </cell>
          <cell r="F2020">
            <v>1</v>
          </cell>
          <cell r="G2020">
            <v>2903545</v>
          </cell>
          <cell r="H2020">
            <v>2615807</v>
          </cell>
        </row>
        <row r="2020">
          <cell r="J2020" t="str">
            <v/>
          </cell>
        </row>
        <row r="2021">
          <cell r="C2021">
            <v>8010036808</v>
          </cell>
          <cell r="D2021" t="str">
            <v>给水用聚乙烯HDPE直管(0.8MPa)黑色 dn200 5.8M(IDN)</v>
          </cell>
          <cell r="E2021" t="str">
            <v>Pipa HDPE Polyethylene untuk Suplai Air (0.8 MPa) Warna Hitam dn200 5.8M(IDN)</v>
          </cell>
          <cell r="F2021">
            <v>1</v>
          </cell>
          <cell r="G2021">
            <v>1729706</v>
          </cell>
          <cell r="H2021">
            <v>1558294</v>
          </cell>
        </row>
        <row r="2021">
          <cell r="J2021" t="str">
            <v/>
          </cell>
        </row>
        <row r="2022">
          <cell r="C2022">
            <v>8010036809</v>
          </cell>
          <cell r="D2022" t="str">
            <v>给水用聚乙烯HDPE直管(0.8MPa)黑色 dn200 6M(IDN)</v>
          </cell>
          <cell r="E2022" t="str">
            <v>Pipa HDPE Polyethylene untuk Suplai Air (0.8 MPa) Warna Hitam dn200 6M(IDN)</v>
          </cell>
          <cell r="F2022">
            <v>1</v>
          </cell>
          <cell r="G2022">
            <v>1789351</v>
          </cell>
          <cell r="H2022">
            <v>1612028</v>
          </cell>
        </row>
        <row r="2022">
          <cell r="J2022" t="str">
            <v/>
          </cell>
        </row>
        <row r="2023">
          <cell r="C2023">
            <v>8010036810</v>
          </cell>
          <cell r="D2023" t="str">
            <v>给水用聚乙烯HDPE直管(0.8MPa)黑色 dn200 11.8M(IDN)</v>
          </cell>
          <cell r="E2023" t="str">
            <v>Pipa HDPE Polyethylene untuk Suplai Air (0.8 MPa) Warna Hitam dn200 11.8M(IDN)</v>
          </cell>
          <cell r="F2023">
            <v>1</v>
          </cell>
          <cell r="G2023">
            <v>3519057</v>
          </cell>
          <cell r="H2023">
            <v>3170322</v>
          </cell>
        </row>
        <row r="2023">
          <cell r="J2023" t="str">
            <v/>
          </cell>
        </row>
        <row r="2024">
          <cell r="C2024">
            <v>8010036811</v>
          </cell>
          <cell r="D2024" t="str">
            <v>给水用聚乙烯HDPE直管(0.8MPa)黑色 dn200 12M(IDN)</v>
          </cell>
          <cell r="E2024" t="str">
            <v>Pipa HDPE Polyethylene untuk Suplai Air (0.8 MPa) Warna Hitam dn200 12M(IDN)</v>
          </cell>
          <cell r="F2024">
            <v>1</v>
          </cell>
          <cell r="G2024">
            <v>3578702</v>
          </cell>
          <cell r="H2024">
            <v>3224056</v>
          </cell>
        </row>
        <row r="2024">
          <cell r="J2024" t="str">
            <v/>
          </cell>
        </row>
        <row r="2025">
          <cell r="C2025">
            <v>8010036816</v>
          </cell>
          <cell r="D2025" t="str">
            <v>给水用聚乙烯HDPE直管(1.25MPa)黑色 dn200 5.8M(IDN)</v>
          </cell>
          <cell r="E2025" t="str">
            <v>Pipa HDPE Polyethylene untuk Suplai Air (1.25 MPa) Warna Hitam dn200 5.8M(IDN)</v>
          </cell>
          <cell r="F2025">
            <v>1</v>
          </cell>
          <cell r="G2025">
            <v>2567196</v>
          </cell>
          <cell r="H2025">
            <v>2312790</v>
          </cell>
        </row>
        <row r="2025">
          <cell r="J2025" t="str">
            <v/>
          </cell>
        </row>
        <row r="2026">
          <cell r="C2026">
            <v>8010036817</v>
          </cell>
          <cell r="D2026" t="str">
            <v>给水用聚乙烯HDPE直管(1.25MPa)黑色 dn200 6M(IDN)</v>
          </cell>
          <cell r="E2026" t="str">
            <v>Pipa HDPE Polyethylene untuk Suplai Air (1.25 MPa) Warna Hitam dn200 6M(IDN)</v>
          </cell>
          <cell r="F2026">
            <v>1</v>
          </cell>
          <cell r="G2026">
            <v>2655741</v>
          </cell>
          <cell r="H2026">
            <v>2392560</v>
          </cell>
        </row>
        <row r="2026">
          <cell r="J2026" t="str">
            <v/>
          </cell>
        </row>
        <row r="2027">
          <cell r="C2027">
            <v>8010036818</v>
          </cell>
          <cell r="D2027" t="str">
            <v>给水用聚乙烯HDPE直管(1.25MPa)黑色 dn200 11.8M(IDN)</v>
          </cell>
          <cell r="E2027" t="str">
            <v>Pipa HDPE Polyethylene untuk Suplai Air (1.25 MPa) Warna Hitam dn200 11.8M(IDN)</v>
          </cell>
          <cell r="F2027">
            <v>1</v>
          </cell>
          <cell r="G2027">
            <v>5222937</v>
          </cell>
          <cell r="H2027">
            <v>4705349</v>
          </cell>
        </row>
        <row r="2027">
          <cell r="J2027" t="str">
            <v/>
          </cell>
        </row>
        <row r="2028">
          <cell r="C2028">
            <v>8010036819</v>
          </cell>
          <cell r="D2028" t="str">
            <v>给水用聚乙烯HDPE直管(1.25MPa)黑色 dn200 12M(IDN)</v>
          </cell>
          <cell r="E2028" t="str">
            <v>Pipa HDPE Polyethylene untuk Suplai Air (1.25 MPa) Warna Hitam dn200 12M(IDN)</v>
          </cell>
          <cell r="F2028">
            <v>1</v>
          </cell>
          <cell r="G2028">
            <v>5311482</v>
          </cell>
          <cell r="H2028">
            <v>4785119</v>
          </cell>
        </row>
        <row r="2028">
          <cell r="J2028" t="str">
            <v/>
          </cell>
        </row>
        <row r="2029">
          <cell r="C2029">
            <v>8010036824</v>
          </cell>
          <cell r="D2029" t="str">
            <v>给水用聚乙烯HDPE直管(2.0MPa)黑色 dn200 5.8M(IDN)</v>
          </cell>
          <cell r="E2029" t="str">
            <v>Pipa HDPE Polyethylene untuk Suplai Air (2.0 MPa) Warna Hitam dn200 5.8M(IDN)</v>
          </cell>
          <cell r="F2029">
            <v>1</v>
          </cell>
          <cell r="G2029">
            <v>3737602</v>
          </cell>
          <cell r="H2029">
            <v>3367210</v>
          </cell>
        </row>
        <row r="2029">
          <cell r="J2029" t="str">
            <v/>
          </cell>
        </row>
        <row r="2030">
          <cell r="C2030">
            <v>8010036825</v>
          </cell>
          <cell r="D2030" t="str">
            <v>给水用聚乙烯HDPE直管(2.0MPa)黑色 dn200 6M(IDN)</v>
          </cell>
          <cell r="E2030" t="str">
            <v>Pipa HDPE Polyethylene untuk Suplai Air (2.0 MPa) Warna Hitam dn200 6M(IDN)</v>
          </cell>
          <cell r="F2030">
            <v>1</v>
          </cell>
          <cell r="G2030">
            <v>3866474</v>
          </cell>
          <cell r="H2030">
            <v>3483310</v>
          </cell>
        </row>
        <row r="2030">
          <cell r="J2030" t="str">
            <v/>
          </cell>
        </row>
        <row r="2031">
          <cell r="C2031">
            <v>8010036826</v>
          </cell>
          <cell r="D2031" t="str">
            <v>给水用聚乙烯HDPE直管(2.0MPa)黑色 dn200 11.8M(IDN)</v>
          </cell>
          <cell r="E2031" t="str">
            <v>Pipa HDPE Polyethylene untuk Suplai Air (2.0 MPa) Warna Hitam dn200 11.8M(IDN)</v>
          </cell>
          <cell r="F2031">
            <v>1</v>
          </cell>
          <cell r="G2031">
            <v>7604075</v>
          </cell>
          <cell r="H2031">
            <v>6850519</v>
          </cell>
        </row>
        <row r="2031">
          <cell r="J2031" t="str">
            <v/>
          </cell>
        </row>
        <row r="2032">
          <cell r="C2032">
            <v>8010036827</v>
          </cell>
          <cell r="D2032" t="str">
            <v>给水用聚乙烯HDPE直管(2.0MPa)黑色 dn200 12M(IDN)</v>
          </cell>
          <cell r="E2032" t="str">
            <v>Pipa HDPE Polyethylene untuk Suplai Air (2.0 MPa) Warna Hitam dn200 12M(IDN)</v>
          </cell>
          <cell r="F2032">
            <v>1</v>
          </cell>
          <cell r="G2032">
            <v>7732948</v>
          </cell>
          <cell r="H2032">
            <v>6966620</v>
          </cell>
        </row>
        <row r="2032">
          <cell r="J2032" t="str">
            <v/>
          </cell>
        </row>
        <row r="2033">
          <cell r="C2033">
            <v>8010036828</v>
          </cell>
          <cell r="D2033" t="str">
            <v>给水用聚乙烯HDPE直管(2.5MPa)黑色 dn200 5.8M(IDN)</v>
          </cell>
          <cell r="E2033" t="str">
            <v>Pipa HDPE Polyethylene untuk Suplai Air (2.5 MPa) Warna Hitam dn200 5.8M(IDN)</v>
          </cell>
          <cell r="F2033">
            <v>1</v>
          </cell>
          <cell r="G2033">
            <v>4339125</v>
          </cell>
          <cell r="H2033">
            <v>3909122</v>
          </cell>
        </row>
        <row r="2033">
          <cell r="J2033" t="str">
            <v/>
          </cell>
        </row>
        <row r="2034">
          <cell r="C2034">
            <v>8010036829</v>
          </cell>
          <cell r="D2034" t="str">
            <v>给水用聚乙烯HDPE直管(2.5MPa)黑色 dn200 6M(IDN)</v>
          </cell>
          <cell r="E2034" t="str">
            <v>Pipa HDPE Polyethylene untuk Suplai Air (2.5 MPa) Warna Hitam dn200 6M(IDN)</v>
          </cell>
          <cell r="F2034">
            <v>1</v>
          </cell>
          <cell r="G2034">
            <v>4488750</v>
          </cell>
          <cell r="H2034">
            <v>4043919</v>
          </cell>
        </row>
        <row r="2034">
          <cell r="J2034" t="str">
            <v/>
          </cell>
        </row>
        <row r="2035">
          <cell r="C2035">
            <v>8010036830</v>
          </cell>
          <cell r="D2035" t="str">
            <v>给水用聚乙烯HDPE直管(2.5MPa)黑色 dn200 11.8M(IDN)</v>
          </cell>
          <cell r="E2035" t="str">
            <v>Pipa HDPE Polyethylene untuk Suplai Air (2.5 MPa) Warna Hitam dn200 11.8M(IDN)</v>
          </cell>
          <cell r="F2035">
            <v>1</v>
          </cell>
          <cell r="G2035">
            <v>8827875</v>
          </cell>
          <cell r="H2035">
            <v>7953041</v>
          </cell>
        </row>
        <row r="2035">
          <cell r="J2035" t="str">
            <v/>
          </cell>
        </row>
        <row r="2036">
          <cell r="C2036">
            <v>8010036831</v>
          </cell>
          <cell r="D2036" t="str">
            <v>给水用聚乙烯HDPE直管(2.5MPa)黑色 dn200 12M(IDN)</v>
          </cell>
          <cell r="E2036" t="str">
            <v>Pipa HDPE Polyethylene untuk Suplai Air (2.5 MPa) Warna Hitam dn200 12M(IDN)</v>
          </cell>
          <cell r="F2036">
            <v>1</v>
          </cell>
          <cell r="G2036">
            <v>8977500</v>
          </cell>
          <cell r="H2036">
            <v>8087838</v>
          </cell>
        </row>
        <row r="2036">
          <cell r="J2036" t="str">
            <v/>
          </cell>
        </row>
        <row r="2037">
          <cell r="C2037">
            <v>8010036832</v>
          </cell>
          <cell r="D2037" t="str">
            <v>给水用聚乙烯HDPE直管(0.6MPa)黑色 dn225 5.8M(IDN)</v>
          </cell>
          <cell r="E2037" t="str">
            <v>Pipa HDPE Polyethylene untuk Suplai Air (0.6 MPa) Warna Hitam dn225 5.8M(IDN)</v>
          </cell>
          <cell r="F2037">
            <v>1</v>
          </cell>
          <cell r="G2037">
            <v>1763576</v>
          </cell>
          <cell r="H2037">
            <v>1588808</v>
          </cell>
        </row>
        <row r="2037">
          <cell r="J2037" t="str">
            <v/>
          </cell>
        </row>
        <row r="2038">
          <cell r="C2038">
            <v>8010036833</v>
          </cell>
          <cell r="D2038" t="str">
            <v>给水用聚乙烯HDPE直管(0.6MPa)黑色 dn225 6M(IDN)</v>
          </cell>
          <cell r="E2038" t="str">
            <v>Pipa HDPE Polyethylene untuk Suplai Air (0.6 MPa) Warna Hitam dn225 6M(IDN)</v>
          </cell>
          <cell r="F2038">
            <v>1</v>
          </cell>
          <cell r="G2038">
            <v>1824400</v>
          </cell>
          <cell r="H2038">
            <v>1643604</v>
          </cell>
        </row>
        <row r="2038">
          <cell r="J2038" t="str">
            <v/>
          </cell>
        </row>
        <row r="2039">
          <cell r="C2039">
            <v>8010036834</v>
          </cell>
          <cell r="D2039" t="str">
            <v>给水用聚乙烯HDPE直管(0.6MPa)黑色 dn225 11.8M(IDN)</v>
          </cell>
          <cell r="E2039" t="str">
            <v>Pipa HDPE Polyethylene untuk Suplai Air (0.6 MPa) Warna Hitam dn225 11.8M(IDN)</v>
          </cell>
          <cell r="F2039">
            <v>1</v>
          </cell>
          <cell r="G2039">
            <v>3587977</v>
          </cell>
          <cell r="H2039">
            <v>3232412</v>
          </cell>
        </row>
        <row r="2039">
          <cell r="J2039" t="str">
            <v/>
          </cell>
        </row>
        <row r="2040">
          <cell r="C2040">
            <v>8010036835</v>
          </cell>
          <cell r="D2040" t="str">
            <v>给水用聚乙烯HDPE直管(0.6MPa)黑色 dn225 12M(IDN)</v>
          </cell>
          <cell r="E2040" t="str">
            <v>Pipa HDPE Polyethylene untuk Suplai Air (0.6 MPa) Warna Hitam dn225 12M(IDN)</v>
          </cell>
          <cell r="F2040">
            <v>1</v>
          </cell>
          <cell r="G2040">
            <v>3648800</v>
          </cell>
          <cell r="H2040">
            <v>3287208</v>
          </cell>
        </row>
        <row r="2040">
          <cell r="J2040" t="str">
            <v/>
          </cell>
        </row>
        <row r="2041">
          <cell r="C2041">
            <v>8010036836</v>
          </cell>
          <cell r="D2041" t="str">
            <v>给水用聚乙烯HDPE直管(0.8MPa)黑色 dn225 5.8M(IDN)</v>
          </cell>
          <cell r="E2041" t="str">
            <v>Pipa HDPE Polyethylene untuk Suplai Air (0.8 MPa) Warna Hitam dn225 5.8M(IDN)</v>
          </cell>
          <cell r="F2041">
            <v>1</v>
          </cell>
          <cell r="G2041">
            <v>2185908</v>
          </cell>
          <cell r="H2041">
            <v>1969287</v>
          </cell>
        </row>
        <row r="2041">
          <cell r="J2041" t="str">
            <v/>
          </cell>
        </row>
        <row r="2042">
          <cell r="C2042">
            <v>8010036837</v>
          </cell>
          <cell r="D2042" t="str">
            <v>给水用聚乙烯HDPE直管(0.8MPa)黑色 dn225 6M(IDN)</v>
          </cell>
          <cell r="E2042" t="str">
            <v>Pipa HDPE Polyethylene untuk Suplai Air (0.8 MPa) Warna Hitam dn225 6M(IDN)</v>
          </cell>
          <cell r="F2042">
            <v>1</v>
          </cell>
          <cell r="G2042">
            <v>2261284</v>
          </cell>
          <cell r="H2042">
            <v>2037193</v>
          </cell>
        </row>
        <row r="2042">
          <cell r="J2042" t="str">
            <v/>
          </cell>
        </row>
        <row r="2043">
          <cell r="C2043">
            <v>8010036838</v>
          </cell>
          <cell r="D2043" t="str">
            <v>给水用聚乙烯HDPE直管(0.8MPa)黑色 dn225 11.8M(IDN)</v>
          </cell>
          <cell r="E2043" t="str">
            <v>Pipa HDPE Polyethylene untuk Suplai Air (0.8 MPa) Warna Hitam dn225 11.8M(IDN)</v>
          </cell>
          <cell r="F2043">
            <v>1</v>
          </cell>
          <cell r="G2043">
            <v>4447193</v>
          </cell>
          <cell r="H2043">
            <v>4006481</v>
          </cell>
        </row>
        <row r="2043">
          <cell r="J2043" t="str">
            <v/>
          </cell>
        </row>
        <row r="2044">
          <cell r="C2044">
            <v>8010036839</v>
          </cell>
          <cell r="D2044" t="str">
            <v>给水用聚乙烯HDPE直管(0.8MPa)黑色 dn225 12M(IDN)</v>
          </cell>
          <cell r="E2044" t="str">
            <v>Pipa HDPE Polyethylene untuk Suplai Air (0.8 MPa) Warna Hitam dn225 12M(IDN)</v>
          </cell>
          <cell r="F2044">
            <v>1</v>
          </cell>
          <cell r="G2044">
            <v>4522569</v>
          </cell>
          <cell r="H2044">
            <v>4074387</v>
          </cell>
        </row>
        <row r="2044">
          <cell r="J2044" t="str">
            <v/>
          </cell>
        </row>
        <row r="2045">
          <cell r="C2045">
            <v>8010036844</v>
          </cell>
          <cell r="D2045" t="str">
            <v>给水用聚乙烯HDPE直管(1.25MPa)黑色 dn225 5.8M(IDN)</v>
          </cell>
          <cell r="E2045" t="str">
            <v>Pipa HDPE Polyethylene untuk Suplai Air (1.25 MPa) Warna Hitam dn225 5.8M(IDN)</v>
          </cell>
          <cell r="F2045">
            <v>1</v>
          </cell>
          <cell r="G2045">
            <v>3259980</v>
          </cell>
          <cell r="H2045">
            <v>2936919</v>
          </cell>
        </row>
        <row r="2045">
          <cell r="J2045" t="str">
            <v/>
          </cell>
        </row>
        <row r="2046">
          <cell r="C2046">
            <v>8010036845</v>
          </cell>
          <cell r="D2046" t="str">
            <v>给水用聚乙烯HDPE直管(1.25MPa)黑色 dn225 6M(IDN)</v>
          </cell>
          <cell r="E2046" t="str">
            <v>Pipa HDPE Polyethylene untuk Suplai Air (1.25 MPa) Warna Hitam dn225 6M(IDN)</v>
          </cell>
          <cell r="F2046">
            <v>1</v>
          </cell>
          <cell r="G2046">
            <v>3372404</v>
          </cell>
          <cell r="H2046">
            <v>3038202</v>
          </cell>
        </row>
        <row r="2046">
          <cell r="J2046" t="str">
            <v/>
          </cell>
        </row>
        <row r="2047">
          <cell r="C2047">
            <v>8010036846</v>
          </cell>
          <cell r="D2047" t="str">
            <v>给水用聚乙烯HDPE直管(1.25MPa)黑色 dn225 11.8M(IDN)</v>
          </cell>
          <cell r="E2047" t="str">
            <v>Pipa HDPE Polyethylene untuk Suplai Air (1.25 MPa) Warna Hitam dn225 11.8M(IDN)</v>
          </cell>
          <cell r="F2047">
            <v>1</v>
          </cell>
          <cell r="G2047">
            <v>6632384</v>
          </cell>
          <cell r="H2047">
            <v>5975121</v>
          </cell>
        </row>
        <row r="2047">
          <cell r="J2047" t="str">
            <v/>
          </cell>
        </row>
        <row r="2048">
          <cell r="C2048">
            <v>8010036847</v>
          </cell>
          <cell r="D2048" t="str">
            <v>给水用聚乙烯HDPE直管(1.25MPa)黑色 dn225 12M(IDN)</v>
          </cell>
          <cell r="E2048" t="str">
            <v>Pipa HDPE Polyethylene untuk Suplai Air (1.25 MPa) Warna Hitam dn225 12M(IDN)</v>
          </cell>
          <cell r="F2048">
            <v>1</v>
          </cell>
          <cell r="G2048">
            <v>6744808</v>
          </cell>
          <cell r="H2048">
            <v>6076404</v>
          </cell>
        </row>
        <row r="2048">
          <cell r="J2048" t="str">
            <v/>
          </cell>
        </row>
        <row r="2049">
          <cell r="C2049">
            <v>8010036852</v>
          </cell>
          <cell r="D2049" t="str">
            <v>给水用聚乙烯HDPE直管(2.0MPa)黑色 dn225 5.8M(IDN)</v>
          </cell>
          <cell r="E2049" t="str">
            <v>Pipa HDPE Polyethylene untuk Suplai Air (2.0 MPa) Warna Hitam dn225 5.8M(IDN)</v>
          </cell>
          <cell r="F2049">
            <v>1</v>
          </cell>
          <cell r="G2049">
            <v>4731122</v>
          </cell>
          <cell r="H2049">
            <v>4262273</v>
          </cell>
        </row>
        <row r="2049">
          <cell r="J2049" t="str">
            <v/>
          </cell>
        </row>
        <row r="2050">
          <cell r="C2050">
            <v>8010036853</v>
          </cell>
          <cell r="D2050" t="str">
            <v>给水用聚乙烯HDPE直管(2.0MPa)黑色 dn225 6M(IDN)</v>
          </cell>
          <cell r="E2050" t="str">
            <v>Pipa HDPE Polyethylene untuk Suplai Air (2.0 MPa) Warna Hitam dn225 6M(IDN)</v>
          </cell>
          <cell r="F2050">
            <v>1</v>
          </cell>
          <cell r="G2050">
            <v>4894274</v>
          </cell>
          <cell r="H2050">
            <v>4409256</v>
          </cell>
        </row>
        <row r="2050">
          <cell r="J2050" t="str">
            <v/>
          </cell>
        </row>
        <row r="2051">
          <cell r="C2051">
            <v>8010036854</v>
          </cell>
          <cell r="D2051" t="str">
            <v>给水用聚乙烯HDPE直管(2.0MPa)黑色 dn225 11.8M(IDN)</v>
          </cell>
          <cell r="E2051" t="str">
            <v>Pipa HDPE Polyethylene untuk Suplai Air (2.0 MPa) Warna Hitam dn225 11.8M(IDN)</v>
          </cell>
          <cell r="F2051">
            <v>1</v>
          </cell>
          <cell r="G2051">
            <v>9625396</v>
          </cell>
          <cell r="H2051">
            <v>8671528</v>
          </cell>
        </row>
        <row r="2051">
          <cell r="J2051" t="str">
            <v/>
          </cell>
        </row>
        <row r="2052">
          <cell r="C2052">
            <v>8010036855</v>
          </cell>
          <cell r="D2052" t="str">
            <v>给水用聚乙烯HDPE直管(2.0MPa)黑色 dn225 12M(IDN)</v>
          </cell>
          <cell r="E2052" t="str">
            <v>Pipa HDPE Polyethylene untuk Suplai Air (2.0 MPa) Warna Hitam dn225 12M(IDN)</v>
          </cell>
          <cell r="F2052">
            <v>1</v>
          </cell>
          <cell r="G2052">
            <v>9788549</v>
          </cell>
          <cell r="H2052">
            <v>8818513</v>
          </cell>
        </row>
        <row r="2052">
          <cell r="J2052" t="str">
            <v/>
          </cell>
        </row>
        <row r="2053">
          <cell r="C2053">
            <v>8010036856</v>
          </cell>
          <cell r="D2053" t="str">
            <v>给水用聚乙烯HDPE直管(2.5MPa)黑色 dn225 5.8M(IDN)</v>
          </cell>
          <cell r="E2053" t="str">
            <v>Pipa HDPE Polyethylene untuk Suplai Air (2.5 MPa) Warna Hitam dn225 5.8M(IDN)</v>
          </cell>
          <cell r="F2053">
            <v>1</v>
          </cell>
          <cell r="G2053">
            <v>5498206</v>
          </cell>
          <cell r="H2053">
            <v>4953339</v>
          </cell>
        </row>
        <row r="2053">
          <cell r="J2053" t="str">
            <v/>
          </cell>
        </row>
        <row r="2054">
          <cell r="C2054">
            <v>8010036857</v>
          </cell>
          <cell r="D2054" t="str">
            <v>给水用聚乙烯HDPE直管(2.5MPa)黑色 dn225 6M(IDN)</v>
          </cell>
          <cell r="E2054" t="str">
            <v>Pipa HDPE Polyethylene untuk Suplai Air (2.5 MPa) Warna Hitam dn225 6M(IDN)</v>
          </cell>
          <cell r="F2054">
            <v>1</v>
          </cell>
          <cell r="G2054">
            <v>5687799</v>
          </cell>
          <cell r="H2054">
            <v>5124144</v>
          </cell>
        </row>
        <row r="2054">
          <cell r="J2054" t="str">
            <v/>
          </cell>
        </row>
        <row r="2055">
          <cell r="C2055">
            <v>8010036858</v>
          </cell>
          <cell r="D2055" t="str">
            <v>给水用聚乙烯HDPE直管(2.5MPa)黑色 dn225 11.8M(IDN)</v>
          </cell>
          <cell r="E2055" t="str">
            <v>Pipa HDPE Polyethylene untuk Suplai Air (2.5 MPa) Warna Hitam dn225 11.8M(IDN)</v>
          </cell>
          <cell r="F2055">
            <v>1</v>
          </cell>
          <cell r="G2055">
            <v>11186006</v>
          </cell>
          <cell r="H2055">
            <v>10077483</v>
          </cell>
        </row>
        <row r="2055">
          <cell r="J2055" t="str">
            <v/>
          </cell>
        </row>
        <row r="2056">
          <cell r="C2056">
            <v>8010036859</v>
          </cell>
          <cell r="D2056" t="str">
            <v>给水用聚乙烯HDPE直管(2.5MPa)黑色 dn225 12M(IDN)</v>
          </cell>
          <cell r="E2056" t="str">
            <v>Pipa HDPE Polyethylene untuk Suplai Air (2.5 MPa) Warna Hitam dn225 12M(IDN)</v>
          </cell>
          <cell r="F2056">
            <v>1</v>
          </cell>
          <cell r="G2056">
            <v>11375599</v>
          </cell>
          <cell r="H2056">
            <v>10248288</v>
          </cell>
        </row>
        <row r="2056">
          <cell r="J2056" t="str">
            <v/>
          </cell>
        </row>
        <row r="2057">
          <cell r="C2057">
            <v>8010036860</v>
          </cell>
          <cell r="D2057" t="str">
            <v>给水用聚乙烯HDPE直管(0.6MPa)黑色 dn250 5.8M(IDN)</v>
          </cell>
          <cell r="E2057" t="str">
            <v>Pipa HDPE Polyethylene untuk Suplai Air (0.6 MPa) Warna Hitam dn250 5.8M(IDN)</v>
          </cell>
          <cell r="F2057">
            <v>1</v>
          </cell>
          <cell r="G2057">
            <v>2185037</v>
          </cell>
          <cell r="H2057">
            <v>1968502</v>
          </cell>
        </row>
        <row r="2057">
          <cell r="J2057" t="str">
            <v/>
          </cell>
        </row>
        <row r="2058">
          <cell r="C2058">
            <v>8010036861</v>
          </cell>
          <cell r="D2058" t="str">
            <v>给水用聚乙烯HDPE直管(0.6MPa)黑色 dn250 6M(IDN)</v>
          </cell>
          <cell r="E2058" t="str">
            <v>Pipa HDPE Polyethylene untuk Suplai Air (0.6 MPa) Warna Hitam dn250 6M(IDN)</v>
          </cell>
          <cell r="F2058">
            <v>1</v>
          </cell>
          <cell r="G2058">
            <v>2260362</v>
          </cell>
          <cell r="H2058">
            <v>2036363</v>
          </cell>
        </row>
        <row r="2058">
          <cell r="J2058" t="str">
            <v/>
          </cell>
        </row>
        <row r="2059">
          <cell r="C2059">
            <v>8010036862</v>
          </cell>
          <cell r="D2059" t="str">
            <v>给水用聚乙烯HDPE直管(0.6MPa)黑色 dn250 11.8M(IDN)</v>
          </cell>
          <cell r="E2059" t="str">
            <v>Pipa HDPE Polyethylene untuk Suplai Air (0.6 MPa) Warna Hitam dn250 11.8M(IDN)</v>
          </cell>
          <cell r="F2059">
            <v>1</v>
          </cell>
          <cell r="G2059">
            <v>4445399</v>
          </cell>
          <cell r="H2059">
            <v>4004864</v>
          </cell>
        </row>
        <row r="2059">
          <cell r="J2059" t="str">
            <v/>
          </cell>
        </row>
        <row r="2060">
          <cell r="C2060">
            <v>8010036863</v>
          </cell>
          <cell r="D2060" t="str">
            <v>给水用聚乙烯HDPE直管(0.6MPa)黑色 dn250 12M(IDN)</v>
          </cell>
          <cell r="E2060" t="str">
            <v>Pipa HDPE Polyethylene untuk Suplai Air (0.6 MPa) Warna Hitam dn250 12M(IDN)</v>
          </cell>
          <cell r="F2060">
            <v>1</v>
          </cell>
          <cell r="G2060">
            <v>4520724</v>
          </cell>
          <cell r="H2060">
            <v>4072725</v>
          </cell>
        </row>
        <row r="2060">
          <cell r="J2060" t="str">
            <v/>
          </cell>
        </row>
        <row r="2061">
          <cell r="C2061">
            <v>8010036864</v>
          </cell>
          <cell r="D2061" t="str">
            <v>给水用聚乙烯HDPE直管(0.8MPa)黑色 dn250 5.8M(IDN)</v>
          </cell>
          <cell r="E2061" t="str">
            <v>Pipa HDPE Polyethylene untuk Suplai Air (0.8 MPa) Warna Hitam dn250 5.8M(IDN)</v>
          </cell>
          <cell r="F2061">
            <v>1</v>
          </cell>
          <cell r="G2061">
            <v>2674803</v>
          </cell>
          <cell r="H2061">
            <v>2409733</v>
          </cell>
        </row>
        <row r="2061">
          <cell r="J2061" t="str">
            <v/>
          </cell>
        </row>
        <row r="2062">
          <cell r="C2062">
            <v>8010036865</v>
          </cell>
          <cell r="D2062" t="str">
            <v>给水用聚乙烯HDPE直管(0.8MPa)黑色 dn250 6M(IDN)</v>
          </cell>
          <cell r="E2062" t="str">
            <v>Pipa HDPE Polyethylene untuk Suplai Air (0.8 MPa) Warna Hitam dn250 6M(IDN)</v>
          </cell>
          <cell r="F2062">
            <v>1</v>
          </cell>
          <cell r="G2062">
            <v>2767037</v>
          </cell>
          <cell r="H2062">
            <v>2492827</v>
          </cell>
        </row>
        <row r="2062">
          <cell r="J2062" t="str">
            <v/>
          </cell>
        </row>
        <row r="2063">
          <cell r="C2063">
            <v>8010036866</v>
          </cell>
          <cell r="D2063" t="str">
            <v>给水用聚乙烯HDPE直管(0.8MPa)黑色 dn250 11.8M(IDN)</v>
          </cell>
          <cell r="E2063" t="str">
            <v>Pipa HDPE Polyethylene untuk Suplai Air (0.8 MPa) Warna Hitam dn250 11.8M(IDN)</v>
          </cell>
          <cell r="F2063">
            <v>1</v>
          </cell>
          <cell r="G2063">
            <v>5441841</v>
          </cell>
          <cell r="H2063">
            <v>4902560</v>
          </cell>
        </row>
        <row r="2063">
          <cell r="J2063" t="str">
            <v/>
          </cell>
        </row>
        <row r="2064">
          <cell r="C2064">
            <v>8010036867</v>
          </cell>
          <cell r="D2064" t="str">
            <v>给水用聚乙烯HDPE直管(0.8MPa)黑色 dn250 12M(IDN)</v>
          </cell>
          <cell r="E2064" t="str">
            <v>Pipa HDPE Polyethylene untuk Suplai Air (0.8 MPa) Warna Hitam dn250 12M(IDN)</v>
          </cell>
          <cell r="F2064">
            <v>1</v>
          </cell>
          <cell r="G2064">
            <v>5534075</v>
          </cell>
          <cell r="H2064">
            <v>4985654</v>
          </cell>
        </row>
        <row r="2064">
          <cell r="J2064" t="str">
            <v/>
          </cell>
        </row>
        <row r="2065">
          <cell r="C2065">
            <v>8010036872</v>
          </cell>
          <cell r="D2065" t="str">
            <v>给水用聚乙烯HDPE直管(1.25MPa)黑色 dn250 5.8M(IDN)</v>
          </cell>
          <cell r="E2065" t="str">
            <v>Pipa HDPE Polyethylene untuk Suplai Air (1.25 MPa) Warna Hitam dn250 5.8M(IDN)</v>
          </cell>
          <cell r="F2065">
            <v>1</v>
          </cell>
          <cell r="G2065">
            <v>4016047</v>
          </cell>
          <cell r="H2065">
            <v>3618061</v>
          </cell>
        </row>
        <row r="2065">
          <cell r="J2065" t="str">
            <v/>
          </cell>
        </row>
        <row r="2066">
          <cell r="C2066">
            <v>8010036873</v>
          </cell>
          <cell r="D2066" t="str">
            <v>给水用聚乙烯HDPE直管(1.25MPa)黑色 dn250 6M(IDN)</v>
          </cell>
          <cell r="E2066" t="str">
            <v>Pipa HDPE Polyethylene untuk Suplai Air (1.25 MPa) Warna Hitam dn250 6M(IDN)</v>
          </cell>
          <cell r="F2066">
            <v>1</v>
          </cell>
          <cell r="G2066">
            <v>4154553</v>
          </cell>
          <cell r="H2066">
            <v>3742841</v>
          </cell>
        </row>
        <row r="2066">
          <cell r="J2066" t="str">
            <v/>
          </cell>
        </row>
        <row r="2067">
          <cell r="C2067">
            <v>8010036874</v>
          </cell>
          <cell r="D2067" t="str">
            <v>给水用聚乙烯HDPE直管(1.25MPa)黑色 dn250 11.8M(IDN)</v>
          </cell>
          <cell r="E2067" t="str">
            <v>Pipa HDPE Polyethylene untuk Suplai Air (1.25 MPa) Warna Hitam dn250 11.8M(IDN)</v>
          </cell>
          <cell r="F2067">
            <v>1</v>
          </cell>
          <cell r="G2067">
            <v>8170601</v>
          </cell>
          <cell r="H2067">
            <v>7360902</v>
          </cell>
        </row>
        <row r="2067">
          <cell r="J2067" t="str">
            <v/>
          </cell>
        </row>
        <row r="2068">
          <cell r="C2068">
            <v>8010036875</v>
          </cell>
          <cell r="D2068" t="str">
            <v>给水用聚乙烯HDPE直管(1.25MPa)黑色 dn250 12M(IDN)</v>
          </cell>
          <cell r="E2068" t="str">
            <v>Pipa HDPE Polyethylene untuk Suplai Air (1.25 MPa) Warna Hitam dn250 12M(IDN)</v>
          </cell>
          <cell r="F2068">
            <v>1</v>
          </cell>
          <cell r="G2068">
            <v>8309106</v>
          </cell>
          <cell r="H2068">
            <v>7485682</v>
          </cell>
        </row>
        <row r="2068">
          <cell r="J2068" t="str">
            <v/>
          </cell>
        </row>
        <row r="2069">
          <cell r="C2069">
            <v>8010036880</v>
          </cell>
          <cell r="D2069" t="str">
            <v>给水用聚乙烯HDPE直管(2.0MPa)黑色 dn250 5.8M(IDN)</v>
          </cell>
          <cell r="E2069" t="str">
            <v>Pipa HDPE Polyethylene untuk Suplai Air (2.0 MPa) Warna Hitam dn250 5.8M(IDN)</v>
          </cell>
          <cell r="F2069">
            <v>1</v>
          </cell>
          <cell r="G2069">
            <v>5814417</v>
          </cell>
          <cell r="H2069">
            <v>5238214</v>
          </cell>
        </row>
        <row r="2069">
          <cell r="J2069" t="str">
            <v/>
          </cell>
        </row>
        <row r="2070">
          <cell r="C2070">
            <v>8010036881</v>
          </cell>
          <cell r="D2070" t="str">
            <v>给水用聚乙烯HDPE直管(2.0MPa)黑色 dn250 6M(IDN)</v>
          </cell>
          <cell r="E2070" t="str">
            <v>Pipa HDPE Polyethylene untuk Suplai Air (2.0 MPa) Warna Hitam dn250 6M(IDN)</v>
          </cell>
          <cell r="F2070">
            <v>1</v>
          </cell>
          <cell r="G2070">
            <v>6014925</v>
          </cell>
          <cell r="H2070">
            <v>5418852</v>
          </cell>
        </row>
        <row r="2070">
          <cell r="J2070" t="str">
            <v/>
          </cell>
        </row>
        <row r="2071">
          <cell r="C2071">
            <v>8010036882</v>
          </cell>
          <cell r="D2071" t="str">
            <v>给水用聚乙烯HDPE直管(2.0MPa)黑色 dn250 11.8M(IDN)</v>
          </cell>
          <cell r="E2071" t="str">
            <v>Pipa HDPE Polyethylene untuk Suplai Air (2.0 MPa) Warna Hitam dn250 11.8M(IDN)</v>
          </cell>
          <cell r="F2071">
            <v>1</v>
          </cell>
          <cell r="G2071">
            <v>11829342</v>
          </cell>
          <cell r="H2071">
            <v>10657065</v>
          </cell>
        </row>
        <row r="2071">
          <cell r="J2071" t="str">
            <v/>
          </cell>
        </row>
        <row r="2072">
          <cell r="C2072">
            <v>8010036883</v>
          </cell>
          <cell r="D2072" t="str">
            <v>给水用聚乙烯HDPE直管(2.0MPa)黑色 dn250 12M(IDN)</v>
          </cell>
          <cell r="E2072" t="str">
            <v>Pipa HDPE Polyethylene untuk Suplai Air (2.0 MPa) Warna Hitam dn250 12M(IDN)</v>
          </cell>
          <cell r="F2072">
            <v>1</v>
          </cell>
          <cell r="G2072">
            <v>12029850</v>
          </cell>
          <cell r="H2072">
            <v>10837703</v>
          </cell>
        </row>
        <row r="2072">
          <cell r="J2072" t="str">
            <v/>
          </cell>
        </row>
        <row r="2073">
          <cell r="C2073">
            <v>8010036884</v>
          </cell>
          <cell r="D2073" t="str">
            <v>给水用聚乙烯HDPE直管(2.5MPa)黑色 dn250 5.8M(IDN)</v>
          </cell>
          <cell r="E2073" t="str">
            <v>Pipa HDPE Polyethylene untuk Suplai Air (2.5 MPa) Warna Hitam dn250 5.8M(IDN)</v>
          </cell>
          <cell r="F2073">
            <v>1</v>
          </cell>
          <cell r="G2073">
            <v>6884953</v>
          </cell>
          <cell r="H2073">
            <v>6202661</v>
          </cell>
        </row>
        <row r="2073">
          <cell r="J2073" t="str">
            <v/>
          </cell>
        </row>
        <row r="2074">
          <cell r="C2074">
            <v>8010036885</v>
          </cell>
          <cell r="D2074" t="str">
            <v>给水用聚乙烯HDPE直管(2.5MPa)黑色 dn250 6M(IDN)</v>
          </cell>
          <cell r="E2074" t="str">
            <v>Pipa HDPE Polyethylene untuk Suplai Air (2.5 MPa) Warna Hitam dn250 6M(IDN)</v>
          </cell>
          <cell r="F2074">
            <v>1</v>
          </cell>
          <cell r="G2074">
            <v>7122355</v>
          </cell>
          <cell r="H2074">
            <v>6416537</v>
          </cell>
        </row>
        <row r="2074">
          <cell r="J2074" t="str">
            <v/>
          </cell>
        </row>
        <row r="2075">
          <cell r="C2075">
            <v>8010036886</v>
          </cell>
          <cell r="D2075" t="str">
            <v>给水用聚乙烯HDPE直管(2.5MPa)黑色 dn250 11.8M(IDN)</v>
          </cell>
          <cell r="E2075" t="str">
            <v>Pipa HDPE Polyethylene untuk Suplai Air (2.5 MPa) Warna Hitam dn250 11.8M(IDN)</v>
          </cell>
          <cell r="F2075">
            <v>1</v>
          </cell>
          <cell r="G2075">
            <v>14007308</v>
          </cell>
          <cell r="H2075">
            <v>12619197</v>
          </cell>
        </row>
        <row r="2075">
          <cell r="J2075" t="str">
            <v/>
          </cell>
        </row>
        <row r="2076">
          <cell r="C2076">
            <v>8010036887</v>
          </cell>
          <cell r="D2076" t="str">
            <v>给水用聚乙烯HDPE直管(2.5MPa)黑色 dn250 12M(IDN)</v>
          </cell>
          <cell r="E2076" t="str">
            <v>Pipa HDPE Polyethylene untuk Suplai Air (2.5 MPa) Warna Hitam dn250 12M(IDN)</v>
          </cell>
          <cell r="F2076">
            <v>1</v>
          </cell>
          <cell r="G2076">
            <v>14244710</v>
          </cell>
          <cell r="H2076">
            <v>12833073</v>
          </cell>
        </row>
        <row r="2076">
          <cell r="J2076" t="str">
            <v/>
          </cell>
        </row>
        <row r="2077">
          <cell r="C2077">
            <v>8010036888</v>
          </cell>
          <cell r="D2077" t="str">
            <v>给水用聚乙烯HDPE直管(0.6MPa)黑色 dn280 5.8M(IDN)</v>
          </cell>
          <cell r="E2077" t="str">
            <v>Pipa HDPE Polyethylene untuk Suplai Air (0.6 MPa) Warna Hitam dn280 5.8M(IDN)</v>
          </cell>
          <cell r="F2077">
            <v>1</v>
          </cell>
          <cell r="G2077">
            <v>2725327</v>
          </cell>
          <cell r="H2077">
            <v>2455250</v>
          </cell>
        </row>
        <row r="2077">
          <cell r="J2077" t="str">
            <v/>
          </cell>
        </row>
        <row r="2078">
          <cell r="C2078">
            <v>8010036889</v>
          </cell>
          <cell r="D2078" t="str">
            <v>给水用聚乙烯HDPE直管(0.6MPa)黑色 dn280 6M(IDN)</v>
          </cell>
          <cell r="E2078" t="str">
            <v>Pipa HDPE Polyethylene untuk Suplai Air (0.6 MPa) Warna Hitam dn280 6M(IDN)</v>
          </cell>
          <cell r="F2078">
            <v>1</v>
          </cell>
          <cell r="G2078">
            <v>2819304</v>
          </cell>
          <cell r="H2078">
            <v>2539914</v>
          </cell>
        </row>
        <row r="2078">
          <cell r="J2078" t="str">
            <v/>
          </cell>
        </row>
        <row r="2079">
          <cell r="C2079">
            <v>8010036890</v>
          </cell>
          <cell r="D2079" t="str">
            <v>给水用聚乙烯HDPE直管(0.6MPa)黑色 dn280 11.8M(IDN)</v>
          </cell>
          <cell r="E2079" t="str">
            <v>Pipa HDPE Polyethylene untuk Suplai Air (0.6 MPa) Warna Hitam dn280 11.8M(IDN)</v>
          </cell>
          <cell r="F2079">
            <v>1</v>
          </cell>
          <cell r="G2079">
            <v>5544631</v>
          </cell>
          <cell r="H2079">
            <v>4995164</v>
          </cell>
        </row>
        <row r="2079">
          <cell r="J2079" t="str">
            <v/>
          </cell>
        </row>
        <row r="2080">
          <cell r="C2080">
            <v>8010036891</v>
          </cell>
          <cell r="D2080" t="str">
            <v>给水用聚乙烯HDPE直管(0.6MPa)黑色 dn280 12M(IDN)</v>
          </cell>
          <cell r="E2080" t="str">
            <v>Pipa HDPE Polyethylene untuk Suplai Air (0.6 MPa) Warna Hitam dn280 12M(IDN)</v>
          </cell>
          <cell r="F2080">
            <v>1</v>
          </cell>
          <cell r="G2080">
            <v>5638608</v>
          </cell>
          <cell r="H2080">
            <v>5079828</v>
          </cell>
        </row>
        <row r="2080">
          <cell r="J2080" t="str">
            <v/>
          </cell>
        </row>
        <row r="2081">
          <cell r="C2081">
            <v>8010036892</v>
          </cell>
          <cell r="D2081" t="str">
            <v>给水用聚乙烯HDPE直管(0.8MPa)黑色 dn280 5.8M(IDN)</v>
          </cell>
          <cell r="E2081" t="str">
            <v>Pipa HDPE Polyethylene untuk Suplai Air (0.8 MPa) Warna Hitam dn280 5.8M(IDN)</v>
          </cell>
          <cell r="F2081">
            <v>1</v>
          </cell>
          <cell r="G2081">
            <v>3376811</v>
          </cell>
          <cell r="H2081">
            <v>3042173</v>
          </cell>
        </row>
        <row r="2081">
          <cell r="J2081" t="str">
            <v/>
          </cell>
        </row>
        <row r="2082">
          <cell r="C2082">
            <v>8010036893</v>
          </cell>
          <cell r="D2082" t="str">
            <v>给水用聚乙烯HDPE直管(0.8MPa)黑色 dn280 6M(IDN)</v>
          </cell>
          <cell r="E2082" t="str">
            <v>Pipa HDPE Polyethylene untuk Suplai Air (0.8 MPa) Warna Hitam dn280 6M(IDN)</v>
          </cell>
          <cell r="F2082">
            <v>1</v>
          </cell>
          <cell r="G2082">
            <v>3493231</v>
          </cell>
          <cell r="H2082">
            <v>3147055</v>
          </cell>
        </row>
        <row r="2082">
          <cell r="J2082" t="str">
            <v/>
          </cell>
        </row>
        <row r="2083">
          <cell r="C2083">
            <v>8010036894</v>
          </cell>
          <cell r="D2083" t="str">
            <v>给水用聚乙烯HDPE直管(0.8MPa)黑色 dn280 11.8M(IDN)</v>
          </cell>
          <cell r="E2083" t="str">
            <v>Pipa HDPE Polyethylene untuk Suplai Air (0.8 MPa) Warna Hitam dn280 11.8M(IDN)</v>
          </cell>
          <cell r="F2083">
            <v>1</v>
          </cell>
          <cell r="G2083">
            <v>6870042</v>
          </cell>
          <cell r="H2083">
            <v>6189228</v>
          </cell>
        </row>
        <row r="2083">
          <cell r="J2083" t="str">
            <v/>
          </cell>
        </row>
        <row r="2084">
          <cell r="C2084">
            <v>8010036895</v>
          </cell>
          <cell r="D2084" t="str">
            <v>给水用聚乙烯HDPE直管(0.8MPa)黑色 dn280 12M(IDN)</v>
          </cell>
          <cell r="E2084" t="str">
            <v>Pipa HDPE Polyethylene untuk Suplai Air (0.8 MPa) Warna Hitam dn280 12M(IDN)</v>
          </cell>
          <cell r="F2084">
            <v>1</v>
          </cell>
          <cell r="G2084">
            <v>6986462</v>
          </cell>
          <cell r="H2084">
            <v>6294110</v>
          </cell>
        </row>
        <row r="2084">
          <cell r="J2084" t="str">
            <v/>
          </cell>
        </row>
        <row r="2085">
          <cell r="C2085">
            <v>8010036900</v>
          </cell>
          <cell r="D2085" t="str">
            <v>给水用聚乙烯HDPE直管(1.25MPa)黑色 dn280 5.8M(IDN)</v>
          </cell>
          <cell r="E2085" t="str">
            <v>Pipa HDPE Polyethylene untuk Suplai Air (1.25 MPa) Warna Hitam dn280 5.8M(IDN)</v>
          </cell>
          <cell r="F2085">
            <v>1</v>
          </cell>
          <cell r="G2085">
            <v>5031909</v>
          </cell>
          <cell r="H2085">
            <v>4533252</v>
          </cell>
        </row>
        <row r="2085">
          <cell r="J2085" t="str">
            <v/>
          </cell>
        </row>
        <row r="2086">
          <cell r="C2086">
            <v>8010036901</v>
          </cell>
          <cell r="D2086" t="str">
            <v>给水用聚乙烯HDPE直管(1.25MPa)黑色 dn280 6M(IDN)</v>
          </cell>
          <cell r="E2086" t="str">
            <v>Pipa HDPE Polyethylene untuk Suplai Air (1.25 MPa) Warna Hitam dn280 6M(IDN)</v>
          </cell>
          <cell r="F2086">
            <v>1</v>
          </cell>
          <cell r="G2086">
            <v>5205413</v>
          </cell>
          <cell r="H2086">
            <v>4689562</v>
          </cell>
        </row>
        <row r="2086">
          <cell r="J2086" t="str">
            <v/>
          </cell>
        </row>
        <row r="2087">
          <cell r="C2087">
            <v>8010036902</v>
          </cell>
          <cell r="D2087" t="str">
            <v>给水用聚乙烯HDPE直管(1.25MPa)黑色 dn280 11.8M(IDN)</v>
          </cell>
          <cell r="E2087" t="str">
            <v>Pipa HDPE Polyethylene untuk Suplai Air (1.25 MPa) Warna Hitam dn280 11.8M(IDN)</v>
          </cell>
          <cell r="F2087">
            <v>1</v>
          </cell>
          <cell r="G2087">
            <v>10237322</v>
          </cell>
          <cell r="H2087">
            <v>9222813</v>
          </cell>
        </row>
        <row r="2087">
          <cell r="J2087" t="str">
            <v/>
          </cell>
        </row>
        <row r="2088">
          <cell r="C2088">
            <v>8010036903</v>
          </cell>
          <cell r="D2088" t="str">
            <v>给水用聚乙烯HDPE直管(1.25MPa)黑色 dn280 12M(IDN)</v>
          </cell>
          <cell r="E2088" t="str">
            <v>Pipa HDPE Polyethylene untuk Suplai Air (1.25 MPa) Warna Hitam dn280 12M(IDN)</v>
          </cell>
          <cell r="F2088">
            <v>1</v>
          </cell>
          <cell r="G2088">
            <v>10410825</v>
          </cell>
          <cell r="H2088">
            <v>9379122</v>
          </cell>
        </row>
        <row r="2088">
          <cell r="J2088" t="str">
            <v/>
          </cell>
        </row>
        <row r="2089">
          <cell r="C2089">
            <v>8010036904</v>
          </cell>
          <cell r="D2089" t="str">
            <v>给水用聚乙烯HDPE直管(1.6MPa)黑色 dn280 5.8M(IDN)</v>
          </cell>
          <cell r="E2089" t="str">
            <v>Pipa HDPE Polyethylene untuk Suplai Air (1.6 MPa) Warna Hitam dn280 5.8M(IDN)</v>
          </cell>
          <cell r="F2089">
            <v>1</v>
          </cell>
          <cell r="G2089">
            <v>6081897</v>
          </cell>
          <cell r="H2089">
            <v>5479187</v>
          </cell>
        </row>
        <row r="2089">
          <cell r="J2089" t="str">
            <v/>
          </cell>
        </row>
        <row r="2090">
          <cell r="C2090">
            <v>8010036905</v>
          </cell>
          <cell r="D2090" t="str">
            <v>给水用聚乙烯HDPE直管(1.6MPa)黑色 dn280 6M(IDN)</v>
          </cell>
          <cell r="E2090" t="str">
            <v>Pipa HDPE Polyethylene untuk Suplai Air (1.6 MPa) Warna Hitam dn280 6M(IDN)</v>
          </cell>
          <cell r="F2090">
            <v>1</v>
          </cell>
          <cell r="G2090">
            <v>6291629</v>
          </cell>
          <cell r="H2090">
            <v>5668135</v>
          </cell>
        </row>
        <row r="2090">
          <cell r="J2090" t="str">
            <v/>
          </cell>
        </row>
        <row r="2091">
          <cell r="C2091">
            <v>8010036906</v>
          </cell>
          <cell r="D2091" t="str">
            <v>给水用聚乙烯HDPE直管(1.6MPa)黑色 dn280 11.8M(IDN)</v>
          </cell>
          <cell r="E2091" t="str">
            <v>Pipa HDPE Polyethylene untuk Suplai Air (1.6 MPa) Warna Hitam dn280 11.8M(IDN)</v>
          </cell>
          <cell r="F2091">
            <v>1</v>
          </cell>
          <cell r="G2091">
            <v>12373526</v>
          </cell>
          <cell r="H2091">
            <v>11147321</v>
          </cell>
        </row>
        <row r="2091">
          <cell r="J2091" t="str">
            <v/>
          </cell>
        </row>
        <row r="2092">
          <cell r="C2092">
            <v>8010036907</v>
          </cell>
          <cell r="D2092" t="str">
            <v>给水用聚乙烯HDPE直管(1.6MPa)黑色 dn280 12M(IDN)</v>
          </cell>
          <cell r="E2092" t="str">
            <v>Pipa HDPE Polyethylene untuk Suplai Air (1.6 MPa) Warna Hitam dn280 12M(IDN)</v>
          </cell>
          <cell r="F2092">
            <v>1</v>
          </cell>
          <cell r="G2092">
            <v>12583257</v>
          </cell>
          <cell r="H2092">
            <v>11336268</v>
          </cell>
        </row>
        <row r="2092">
          <cell r="J2092" t="str">
            <v/>
          </cell>
        </row>
        <row r="2093">
          <cell r="C2093">
            <v>8010036908</v>
          </cell>
          <cell r="D2093" t="str">
            <v>给水用聚乙烯HDPE直管(2.0MPa)黑色 dn280 5.8M(IDN)</v>
          </cell>
          <cell r="E2093" t="str">
            <v>Pipa HDPE Polyethylene untuk Suplai Air (2.0 MPa) Warna Hitam dn280 5.8M(IDN)</v>
          </cell>
          <cell r="F2093">
            <v>1</v>
          </cell>
          <cell r="G2093">
            <v>7308771</v>
          </cell>
          <cell r="H2093">
            <v>6584479</v>
          </cell>
        </row>
        <row r="2093">
          <cell r="J2093" t="str">
            <v/>
          </cell>
        </row>
        <row r="2094">
          <cell r="C2094">
            <v>8010036909</v>
          </cell>
          <cell r="D2094" t="str">
            <v>给水用聚乙烯HDPE直管(2.0MPa)黑色 dn280 6M(IDN)</v>
          </cell>
          <cell r="E2094" t="str">
            <v>Pipa HDPE Polyethylene untuk Suplai Air (2.0 MPa) Warna Hitam dn280 6M(IDN)</v>
          </cell>
          <cell r="F2094">
            <v>1</v>
          </cell>
          <cell r="G2094">
            <v>7560776</v>
          </cell>
          <cell r="H2094">
            <v>6811510</v>
          </cell>
        </row>
        <row r="2094">
          <cell r="J2094" t="str">
            <v/>
          </cell>
        </row>
        <row r="2095">
          <cell r="C2095">
            <v>8010036910</v>
          </cell>
          <cell r="D2095" t="str">
            <v>给水用聚乙烯HDPE直管(2.0MPa)黑色 dn280 11.8M(IDN)</v>
          </cell>
          <cell r="E2095" t="str">
            <v>Pipa HDPE Polyethylene untuk Suplai Air (2.0 MPa) Warna Hitam dn280 11.8M(IDN)</v>
          </cell>
          <cell r="F2095">
            <v>1</v>
          </cell>
          <cell r="G2095">
            <v>14869548</v>
          </cell>
          <cell r="H2095">
            <v>13395990</v>
          </cell>
        </row>
        <row r="2095">
          <cell r="J2095" t="str">
            <v/>
          </cell>
        </row>
        <row r="2096">
          <cell r="C2096">
            <v>8010036911</v>
          </cell>
          <cell r="D2096" t="str">
            <v>给水用聚乙烯HDPE直管(2.0MPa)黑色 dn280 12M(IDN)</v>
          </cell>
          <cell r="E2096" t="str">
            <v>Pipa HDPE Polyethylene untuk Suplai Air (2.0 MPa) Warna Hitam dn280 12M(IDN)</v>
          </cell>
          <cell r="F2096">
            <v>1</v>
          </cell>
          <cell r="G2096">
            <v>15121553</v>
          </cell>
          <cell r="H2096">
            <v>13623021</v>
          </cell>
        </row>
        <row r="2096">
          <cell r="J2096" t="str">
            <v/>
          </cell>
        </row>
        <row r="2097">
          <cell r="C2097">
            <v>8010036912</v>
          </cell>
          <cell r="D2097" t="str">
            <v>给水用聚乙烯HDPE直管(2.5MPa)黑色 dn280 5.8M(IDN)</v>
          </cell>
          <cell r="E2097" t="str">
            <v>Pipa HDPE Polyethylene untuk Suplai Air (2.5 MPa) Warna Hitam dn280 5.8M(IDN)</v>
          </cell>
          <cell r="F2097">
            <v>1</v>
          </cell>
          <cell r="G2097">
            <v>8668719</v>
          </cell>
          <cell r="H2097">
            <v>7809657</v>
          </cell>
        </row>
        <row r="2097">
          <cell r="J2097" t="str">
            <v/>
          </cell>
        </row>
        <row r="2098">
          <cell r="C2098">
            <v>8010036913</v>
          </cell>
          <cell r="D2098" t="str">
            <v>给水用聚乙烯HDPE直管(2.5MPa)黑色 dn280 6M(IDN)</v>
          </cell>
          <cell r="E2098" t="str">
            <v>Pipa HDPE Polyethylene untuk Suplai Air (2.5 MPa) Warna Hitam dn280 6M(IDN)</v>
          </cell>
          <cell r="F2098">
            <v>1</v>
          </cell>
          <cell r="G2098">
            <v>8967661</v>
          </cell>
          <cell r="H2098">
            <v>8078974</v>
          </cell>
        </row>
        <row r="2098">
          <cell r="J2098" t="str">
            <v/>
          </cell>
        </row>
        <row r="2099">
          <cell r="C2099">
            <v>8010036914</v>
          </cell>
          <cell r="D2099" t="str">
            <v>给水用聚乙烯HDPE直管(2.5MPa)黑色 dn280 11.8M(IDN)</v>
          </cell>
          <cell r="E2099" t="str">
            <v>Pipa HDPE Polyethylene untuk Suplai Air (2.5 MPa) Warna Hitam dn280 11.8M(IDN)</v>
          </cell>
          <cell r="F2099">
            <v>1</v>
          </cell>
          <cell r="G2099">
            <v>17636380</v>
          </cell>
          <cell r="H2099">
            <v>15888631</v>
          </cell>
        </row>
        <row r="2099">
          <cell r="J2099" t="str">
            <v/>
          </cell>
        </row>
        <row r="2100">
          <cell r="C2100">
            <v>8010036915</v>
          </cell>
          <cell r="D2100" t="str">
            <v>给水用聚乙烯HDPE直管(2.5MPa)黑色 dn280 12M(IDN)</v>
          </cell>
          <cell r="E2100" t="str">
            <v>Pipa HDPE Polyethylene untuk Suplai Air (2.5 MPa) Warna Hitam dn280 12M(IDN)</v>
          </cell>
          <cell r="F2100">
            <v>1</v>
          </cell>
          <cell r="G2100">
            <v>17935323</v>
          </cell>
          <cell r="H2100">
            <v>16157949</v>
          </cell>
        </row>
        <row r="2100">
          <cell r="J2100" t="str">
            <v/>
          </cell>
        </row>
        <row r="2101">
          <cell r="C2101">
            <v>8010036916</v>
          </cell>
          <cell r="D2101" t="str">
            <v>给水用聚乙烯HDPE直管(0.6MPa)黑色 dn315 5.8M(IDN)</v>
          </cell>
          <cell r="E2101" t="str">
            <v>Pipa HDPE Polyethylene untuk Suplai Air (0.6 MPa) Warna Hitam dn315 5.8M(IDN)</v>
          </cell>
          <cell r="F2101">
            <v>1</v>
          </cell>
          <cell r="G2101">
            <v>3471915</v>
          </cell>
          <cell r="H2101">
            <v>3127852</v>
          </cell>
        </row>
        <row r="2101">
          <cell r="J2101" t="str">
            <v/>
          </cell>
        </row>
        <row r="2102">
          <cell r="C2102">
            <v>8010036917</v>
          </cell>
          <cell r="D2102" t="str">
            <v>给水用聚乙烯HDPE直管(0.6MPa)黑色 dn315 6M(IDN)</v>
          </cell>
          <cell r="E2102" t="str">
            <v>Pipa HDPE Polyethylene untuk Suplai Air (0.6 MPa) Warna Hitam dn315 6M(IDN)</v>
          </cell>
          <cell r="F2102">
            <v>1</v>
          </cell>
          <cell r="G2102">
            <v>3591615</v>
          </cell>
          <cell r="H2102">
            <v>3235690</v>
          </cell>
        </row>
        <row r="2102">
          <cell r="J2102" t="str">
            <v/>
          </cell>
        </row>
        <row r="2103">
          <cell r="C2103">
            <v>8010036918</v>
          </cell>
          <cell r="D2103" t="str">
            <v>给水用聚乙烯HDPE直管(0.6MPa)黑色 dn315 11.8M(IDN)</v>
          </cell>
          <cell r="E2103" t="str">
            <v>Pipa HDPE Polyethylene untuk Suplai Air (0.6 MPa) Warna Hitam dn315 11.8M(IDN)</v>
          </cell>
          <cell r="F2103">
            <v>1</v>
          </cell>
          <cell r="G2103">
            <v>7063530</v>
          </cell>
          <cell r="H2103">
            <v>6363541</v>
          </cell>
        </row>
        <row r="2103">
          <cell r="J2103" t="str">
            <v/>
          </cell>
        </row>
        <row r="2104">
          <cell r="C2104">
            <v>8010036919</v>
          </cell>
          <cell r="D2104" t="str">
            <v>给水用聚乙烯HDPE直管(0.6MPa)黑色 dn315 12M(IDN)</v>
          </cell>
          <cell r="E2104" t="str">
            <v>Pipa HDPE Polyethylene untuk Suplai Air (0.6 MPa) Warna Hitam dn315 12M(IDN)</v>
          </cell>
          <cell r="F2104">
            <v>1</v>
          </cell>
          <cell r="G2104">
            <v>7183230</v>
          </cell>
          <cell r="H2104">
            <v>6471379</v>
          </cell>
        </row>
        <row r="2104">
          <cell r="J2104" t="str">
            <v/>
          </cell>
        </row>
        <row r="2105">
          <cell r="C2105">
            <v>8010036920</v>
          </cell>
          <cell r="D2105" t="str">
            <v>给水用聚乙烯HDPE直管(0.8MPa)黑色 dn315 5.8M(IDN)</v>
          </cell>
          <cell r="E2105" t="str">
            <v>Pipa HDPE Polyethylene untuk Suplai Air (0.8 MPa) Warna Hitam dn315 5.8M(IDN)</v>
          </cell>
          <cell r="F2105">
            <v>1</v>
          </cell>
          <cell r="G2105">
            <v>4243406</v>
          </cell>
          <cell r="H2105">
            <v>3822889</v>
          </cell>
        </row>
        <row r="2105">
          <cell r="J2105" t="str">
            <v/>
          </cell>
        </row>
        <row r="2106">
          <cell r="C2106">
            <v>8010036921</v>
          </cell>
          <cell r="D2106" t="str">
            <v>给水用聚乙烯HDPE直管(0.8MPa)黑色 dn315 6M(IDN)</v>
          </cell>
          <cell r="E2106" t="str">
            <v>Pipa HDPE Polyethylene untuk Suplai Air (0.8 MPa) Warna Hitam dn315 6M(IDN)</v>
          </cell>
          <cell r="F2106">
            <v>1</v>
          </cell>
          <cell r="G2106">
            <v>4389751</v>
          </cell>
          <cell r="H2106">
            <v>3954731</v>
          </cell>
        </row>
        <row r="2106">
          <cell r="J2106" t="str">
            <v/>
          </cell>
        </row>
        <row r="2107">
          <cell r="C2107">
            <v>8010036922</v>
          </cell>
          <cell r="D2107" t="str">
            <v>给水用聚乙烯HDPE直管(0.8MPa)黑色 dn315 11.8M(IDN)</v>
          </cell>
          <cell r="E2107" t="str">
            <v>Pipa HDPE Polyethylene untuk Suplai Air (0.8 MPa) Warna Hitam dn315 11.8M(IDN)</v>
          </cell>
          <cell r="F2107">
            <v>1</v>
          </cell>
          <cell r="G2107">
            <v>8633157</v>
          </cell>
          <cell r="H2107">
            <v>7777619</v>
          </cell>
        </row>
        <row r="2107">
          <cell r="J2107" t="str">
            <v/>
          </cell>
        </row>
        <row r="2108">
          <cell r="C2108">
            <v>8010036923</v>
          </cell>
          <cell r="D2108" t="str">
            <v>给水用聚乙烯HDPE直管(0.8MPa)黑色 dn315 12M(IDN)</v>
          </cell>
          <cell r="E2108" t="str">
            <v>Pipa HDPE Polyethylene untuk Suplai Air (0.8 MPa) Warna Hitam dn315 12M(IDN)</v>
          </cell>
          <cell r="F2108">
            <v>1</v>
          </cell>
          <cell r="G2108">
            <v>8779503</v>
          </cell>
          <cell r="H2108">
            <v>7909463</v>
          </cell>
        </row>
        <row r="2108">
          <cell r="J2108" t="str">
            <v/>
          </cell>
        </row>
        <row r="2109">
          <cell r="C2109">
            <v>8010036928</v>
          </cell>
          <cell r="D2109" t="str">
            <v>给水用聚乙烯HDPE直管(1.25MPa)黑色 dn315 5.8M(IDN)</v>
          </cell>
          <cell r="E2109" t="str">
            <v>Pipa HDPE Polyethylene untuk Suplai Air (1.25 MPa) Warna Hitam dn315 5.8M(IDN)</v>
          </cell>
          <cell r="F2109">
            <v>1</v>
          </cell>
          <cell r="G2109">
            <v>6377304</v>
          </cell>
          <cell r="H2109">
            <v>5745319</v>
          </cell>
        </row>
        <row r="2109">
          <cell r="J2109" t="str">
            <v/>
          </cell>
        </row>
        <row r="2110">
          <cell r="C2110">
            <v>8010036929</v>
          </cell>
          <cell r="D2110" t="str">
            <v>给水用聚乙烯HDPE直管(1.25MPa)黑色 dn315 6M(IDN)</v>
          </cell>
          <cell r="E2110" t="str">
            <v>Pipa HDPE Polyethylene untuk Suplai Air (1.25 MPa) Warna Hitam dn315 6M(IDN)</v>
          </cell>
          <cell r="F2110">
            <v>1</v>
          </cell>
          <cell r="G2110">
            <v>6597232</v>
          </cell>
          <cell r="H2110">
            <v>5943453</v>
          </cell>
        </row>
        <row r="2110">
          <cell r="J2110" t="str">
            <v/>
          </cell>
        </row>
        <row r="2111">
          <cell r="C2111">
            <v>8010036930</v>
          </cell>
          <cell r="D2111" t="str">
            <v>给水用聚乙烯HDPE直管(1.25MPa)黑色 dn315 11.8M(IDN)</v>
          </cell>
          <cell r="E2111" t="str">
            <v>Pipa HDPE Polyethylene untuk Suplai Air (1.25 MPa) Warna Hitam dn315 11.8M(IDN)</v>
          </cell>
          <cell r="F2111">
            <v>1</v>
          </cell>
          <cell r="G2111">
            <v>12974537</v>
          </cell>
          <cell r="H2111">
            <v>11688773</v>
          </cell>
        </row>
        <row r="2111">
          <cell r="J2111" t="str">
            <v/>
          </cell>
        </row>
        <row r="2112">
          <cell r="C2112">
            <v>8010036931</v>
          </cell>
          <cell r="D2112" t="str">
            <v>给水用聚乙烯HDPE直管(1.25MPa)黑色 dn315 12M(IDN)</v>
          </cell>
          <cell r="E2112" t="str">
            <v>Pipa HDPE Polyethylene untuk Suplai Air (1.25 MPa) Warna Hitam dn315 12M(IDN)</v>
          </cell>
          <cell r="F2112">
            <v>1</v>
          </cell>
          <cell r="G2112">
            <v>13194465</v>
          </cell>
          <cell r="H2112">
            <v>11886906</v>
          </cell>
        </row>
        <row r="2112">
          <cell r="J2112" t="str">
            <v/>
          </cell>
        </row>
        <row r="2113">
          <cell r="C2113">
            <v>8010036936</v>
          </cell>
          <cell r="D2113" t="str">
            <v>给水用聚乙烯HDPE直管(2.0MPa)黑色 dn315 5.8M(IDN)</v>
          </cell>
          <cell r="E2113" t="str">
            <v>Pipa HDPE Polyethylene untuk Suplai Air (2.0 MPa) Warna Hitam dn315 5.8M(IDN)</v>
          </cell>
          <cell r="F2113">
            <v>1</v>
          </cell>
          <cell r="G2113">
            <v>9205473</v>
          </cell>
          <cell r="H2113">
            <v>8293219</v>
          </cell>
        </row>
        <row r="2113">
          <cell r="J2113" t="str">
            <v/>
          </cell>
        </row>
        <row r="2114">
          <cell r="C2114">
            <v>8010036937</v>
          </cell>
          <cell r="D2114" t="str">
            <v>给水用聚乙烯HDPE直管(2.0MPa)黑色 dn315 6M(IDN)</v>
          </cell>
          <cell r="E2114" t="str">
            <v>Pipa HDPE Polyethylene untuk Suplai Air (2.0 MPa) Warna Hitam dn315 6M(IDN)</v>
          </cell>
          <cell r="F2114">
            <v>1</v>
          </cell>
          <cell r="G2114">
            <v>9522914</v>
          </cell>
          <cell r="H2114">
            <v>8579202</v>
          </cell>
        </row>
        <row r="2114">
          <cell r="J2114" t="str">
            <v/>
          </cell>
        </row>
        <row r="2115">
          <cell r="C2115">
            <v>8010036938</v>
          </cell>
          <cell r="D2115" t="str">
            <v>给水用聚乙烯HDPE直管(2.0MPa)黑色 dn315 11.8M(IDN)</v>
          </cell>
          <cell r="E2115" t="str">
            <v>Pipa HDPE Polyethylene untuk Suplai Air (2.0 MPa) Warna Hitam dn315 11.8M(IDN)</v>
          </cell>
          <cell r="F2115">
            <v>1</v>
          </cell>
          <cell r="G2115">
            <v>18728387</v>
          </cell>
          <cell r="H2115">
            <v>16872421</v>
          </cell>
        </row>
        <row r="2115">
          <cell r="J2115" t="str">
            <v/>
          </cell>
        </row>
        <row r="2116">
          <cell r="C2116">
            <v>8010036939</v>
          </cell>
          <cell r="D2116" t="str">
            <v>给水用聚乙烯HDPE直管(2.0MPa)黑色 dn315 12M(IDN)</v>
          </cell>
          <cell r="E2116" t="str">
            <v>Pipa HDPE Polyethylene untuk Suplai Air (2.0 MPa) Warna Hitam dn315 12M(IDN)</v>
          </cell>
          <cell r="F2116">
            <v>1</v>
          </cell>
          <cell r="G2116">
            <v>19045827</v>
          </cell>
          <cell r="H2116">
            <v>17158403</v>
          </cell>
        </row>
        <row r="2116">
          <cell r="J2116" t="str">
            <v/>
          </cell>
        </row>
        <row r="2117">
          <cell r="C2117">
            <v>8010036940</v>
          </cell>
          <cell r="D2117" t="str">
            <v>给水用聚乙烯HDPE直管(2.5MPa)黑色 dn315 5.8M(IDN)</v>
          </cell>
          <cell r="E2117" t="str">
            <v>Pipa HDPE Polyethylene untuk Suplai Air (2.5 MPa) Warna Hitam dn315 5.8M(IDN)</v>
          </cell>
          <cell r="F2117">
            <v>1</v>
          </cell>
          <cell r="G2117">
            <v>10980374</v>
          </cell>
          <cell r="H2117">
            <v>9892229</v>
          </cell>
        </row>
        <row r="2117">
          <cell r="J2117" t="str">
            <v/>
          </cell>
        </row>
        <row r="2118">
          <cell r="C2118">
            <v>8010036941</v>
          </cell>
          <cell r="D2118" t="str">
            <v>给水用聚乙烯HDPE直管(2.5MPa)黑色 dn315 6M(IDN)</v>
          </cell>
          <cell r="E2118" t="str">
            <v>Pipa HDPE Polyethylene untuk Suplai Air (2.5 MPa) Warna Hitam dn315 6M(IDN)</v>
          </cell>
          <cell r="F2118">
            <v>1</v>
          </cell>
          <cell r="G2118">
            <v>11358997</v>
          </cell>
          <cell r="H2118">
            <v>10233331</v>
          </cell>
        </row>
        <row r="2118">
          <cell r="J2118" t="str">
            <v/>
          </cell>
        </row>
        <row r="2119">
          <cell r="C2119">
            <v>8010036942</v>
          </cell>
          <cell r="D2119" t="str">
            <v>给水用聚乙烯HDPE直管(2.5MPa)黑色 dn315 11.8M(IDN)</v>
          </cell>
          <cell r="E2119" t="str">
            <v>Pipa HDPE Polyethylene untuk Suplai Air (2.5 MPa) Warna Hitam dn315 11.8M(IDN)</v>
          </cell>
          <cell r="F2119">
            <v>1</v>
          </cell>
          <cell r="G2119">
            <v>22339371</v>
          </cell>
          <cell r="H2119">
            <v>20125560</v>
          </cell>
        </row>
        <row r="2119">
          <cell r="J2119" t="str">
            <v/>
          </cell>
        </row>
        <row r="2120">
          <cell r="C2120">
            <v>8010036943</v>
          </cell>
          <cell r="D2120" t="str">
            <v>给水用聚乙烯HDPE直管(2.5MPa)黑色 dn315 12M(IDN)</v>
          </cell>
          <cell r="E2120" t="str">
            <v>Pipa HDPE Polyethylene untuk Suplai Air (2.5 MPa) Warna Hitam dn315 12M(IDN)</v>
          </cell>
          <cell r="F2120">
            <v>1</v>
          </cell>
          <cell r="G2120">
            <v>22717994</v>
          </cell>
          <cell r="H2120">
            <v>20466662</v>
          </cell>
        </row>
        <row r="2120">
          <cell r="J2120" t="str">
            <v/>
          </cell>
        </row>
        <row r="2121">
          <cell r="C2121">
            <v>8010036944</v>
          </cell>
          <cell r="D2121" t="str">
            <v>给水用聚乙烯HDPE直管(0.6MPa)黑色 dn355 5.8M(IDN)</v>
          </cell>
          <cell r="E2121" t="str">
            <v>Pipa HDPE Polyethylene untuk Suplai Air (0.6 MPa) Warna Hitam dn355 5.8M(IDN)</v>
          </cell>
          <cell r="F2121">
            <v>1</v>
          </cell>
          <cell r="G2121">
            <v>4388163</v>
          </cell>
          <cell r="H2121">
            <v>3953300</v>
          </cell>
        </row>
        <row r="2121">
          <cell r="J2121" t="str">
            <v/>
          </cell>
        </row>
        <row r="2122">
          <cell r="C2122">
            <v>8010036945</v>
          </cell>
          <cell r="D2122" t="str">
            <v>给水用聚乙烯HDPE直管(0.6MPa)黑色 dn355 6M(IDN)</v>
          </cell>
          <cell r="E2122" t="str">
            <v>Pipa HDPE Polyethylene untuk Suplai Air (0.6 MPa) Warna Hitam dn355 6M(IDN)</v>
          </cell>
          <cell r="F2122">
            <v>1</v>
          </cell>
          <cell r="G2122">
            <v>4539479</v>
          </cell>
          <cell r="H2122">
            <v>4089621</v>
          </cell>
        </row>
        <row r="2122">
          <cell r="J2122" t="str">
            <v/>
          </cell>
        </row>
        <row r="2123">
          <cell r="C2123">
            <v>8010036946</v>
          </cell>
          <cell r="D2123" t="str">
            <v>给水用聚乙烯HDPE直管(0.6MPa)黑色 dn355 11.8M(IDN)</v>
          </cell>
          <cell r="E2123" t="str">
            <v>Pipa HDPE Polyethylene untuk Suplai Air (0.6 MPa) Warna Hitam dn355 11.8M(IDN)</v>
          </cell>
          <cell r="F2123">
            <v>1</v>
          </cell>
          <cell r="G2123">
            <v>8927642</v>
          </cell>
          <cell r="H2123">
            <v>8042921</v>
          </cell>
        </row>
        <row r="2123">
          <cell r="J2123" t="str">
            <v/>
          </cell>
        </row>
        <row r="2124">
          <cell r="C2124">
            <v>8010036947</v>
          </cell>
          <cell r="D2124" t="str">
            <v>给水用聚乙烯HDPE直管(0.6MPa)黑色 dn355 12M(IDN)</v>
          </cell>
          <cell r="E2124" t="str">
            <v>Pipa HDPE Polyethylene untuk Suplai Air (0.6 MPa) Warna Hitam dn355 12M(IDN)</v>
          </cell>
          <cell r="F2124">
            <v>1</v>
          </cell>
          <cell r="G2124">
            <v>9078958</v>
          </cell>
          <cell r="H2124">
            <v>8179242</v>
          </cell>
        </row>
        <row r="2124">
          <cell r="J2124" t="str">
            <v/>
          </cell>
        </row>
        <row r="2125">
          <cell r="C2125">
            <v>8010036948</v>
          </cell>
          <cell r="D2125" t="str">
            <v>给水用聚乙烯HDPE直管(0.8MPa)黑色 dn355 5.8M(IDN)</v>
          </cell>
          <cell r="E2125" t="str">
            <v>Pipa HDPE Polyethylene untuk Suplai Air (0.8 MPa) Warna Hitam dn355 5.8M(IDN) </v>
          </cell>
          <cell r="F2125">
            <v>1</v>
          </cell>
          <cell r="G2125">
            <v>5388242</v>
          </cell>
          <cell r="H2125">
            <v>4854273</v>
          </cell>
        </row>
        <row r="2125">
          <cell r="J2125" t="str">
            <v/>
          </cell>
        </row>
        <row r="2126">
          <cell r="C2126">
            <v>8010036949</v>
          </cell>
          <cell r="D2126" t="str">
            <v>给水用聚乙烯HDPE直管(0.8MPa)黑色 dn355 6M(IDN)</v>
          </cell>
          <cell r="E2126" t="str">
            <v>Pipa HDPE Polyethylene untuk Suplai Air (0.8 MPa) Warna Hitam dn355 6M(IDN)</v>
          </cell>
          <cell r="F2126">
            <v>1</v>
          </cell>
          <cell r="G2126">
            <v>5574043</v>
          </cell>
          <cell r="H2126">
            <v>5021661</v>
          </cell>
        </row>
        <row r="2126">
          <cell r="J2126" t="str">
            <v/>
          </cell>
        </row>
        <row r="2127">
          <cell r="C2127">
            <v>8010036950</v>
          </cell>
          <cell r="D2127" t="str">
            <v>给水用聚乙烯HDPE直管(0.8MPa)黑色 dn355 11.8M(IDN)</v>
          </cell>
          <cell r="E2127" t="str">
            <v>Pipa HDPE Polyethylene untuk Suplai Air (0.8 MPa) Warna Hitam dn355 11.8M(IDN)</v>
          </cell>
          <cell r="F2127">
            <v>1</v>
          </cell>
          <cell r="G2127">
            <v>10962286</v>
          </cell>
          <cell r="H2127">
            <v>9875934</v>
          </cell>
        </row>
        <row r="2127">
          <cell r="J2127" t="str">
            <v/>
          </cell>
        </row>
        <row r="2128">
          <cell r="C2128">
            <v>8010036951</v>
          </cell>
          <cell r="D2128" t="str">
            <v>给水用聚乙烯HDPE直管(0.8MPa)黑色 dn355 12M(IDN)</v>
          </cell>
          <cell r="E2128" t="str">
            <v>Pipa HDPE Polyethylene untuk Suplai Air (0.8 MPa) Warna Hitam dn355 12M(IDN)</v>
          </cell>
          <cell r="F2128">
            <v>1</v>
          </cell>
          <cell r="G2128">
            <v>11148087</v>
          </cell>
          <cell r="H2128">
            <v>10043322</v>
          </cell>
        </row>
        <row r="2128">
          <cell r="J2128" t="str">
            <v/>
          </cell>
        </row>
        <row r="2129">
          <cell r="C2129">
            <v>8010036956</v>
          </cell>
          <cell r="D2129" t="str">
            <v>给水用聚乙烯HDPE直管(1.25MPa)黑色 dn355 5.8M(IDN)</v>
          </cell>
          <cell r="E2129" t="str">
            <v>Pipa HDPE Polyethylene untuk Suplai Air (1.25 MPa) Warna Hitam dn355 5.8M(IDN)</v>
          </cell>
          <cell r="F2129">
            <v>1</v>
          </cell>
          <cell r="G2129">
            <v>8085643</v>
          </cell>
          <cell r="H2129">
            <v>7284364</v>
          </cell>
        </row>
        <row r="2129">
          <cell r="J2129" t="str">
            <v/>
          </cell>
        </row>
        <row r="2130">
          <cell r="C2130">
            <v>8010036957</v>
          </cell>
          <cell r="D2130" t="str">
            <v>给水用聚乙烯HDPE直管(1.25MPa)黑色 dn355 6M(IDN)</v>
          </cell>
          <cell r="E2130" t="str">
            <v>Pipa HDPE Polyethylene untuk Suplai Air (1.25 MPa) Warna Hitam dn355 6M(IDN)</v>
          </cell>
          <cell r="F2130">
            <v>1</v>
          </cell>
          <cell r="G2130">
            <v>8364447</v>
          </cell>
          <cell r="H2130">
            <v>7535538</v>
          </cell>
        </row>
        <row r="2130">
          <cell r="J2130" t="str">
            <v/>
          </cell>
        </row>
        <row r="2131">
          <cell r="C2131">
            <v>8010036958</v>
          </cell>
          <cell r="D2131" t="str">
            <v>给水用聚乙烯HDPE直管(1.25MPa)黑色 dn355 11.8M(IDN)</v>
          </cell>
          <cell r="E2131" t="str">
            <v>Pipa HDPE Polyethylene untuk Suplai Air (1.25 MPa) Warna Hitam dn355 11.8M(IDN)</v>
          </cell>
          <cell r="F2131">
            <v>1</v>
          </cell>
          <cell r="G2131">
            <v>16450090</v>
          </cell>
          <cell r="H2131">
            <v>14819901</v>
          </cell>
        </row>
        <row r="2131">
          <cell r="J2131" t="str">
            <v/>
          </cell>
        </row>
        <row r="2132">
          <cell r="C2132">
            <v>8010036959</v>
          </cell>
          <cell r="D2132" t="str">
            <v>给水用聚乙烯HDPE直管(1.25MPa)黑色 dn355 12M(IDN)</v>
          </cell>
          <cell r="E2132" t="str">
            <v>Pipa HDPE Polyethylene untuk Suplai Air (1.25 MPa) Warna Hitam dn355 12M(IDN)</v>
          </cell>
          <cell r="F2132">
            <v>1</v>
          </cell>
          <cell r="G2132">
            <v>16728895</v>
          </cell>
          <cell r="H2132">
            <v>15071077</v>
          </cell>
        </row>
        <row r="2132">
          <cell r="J2132" t="str">
            <v/>
          </cell>
        </row>
        <row r="2133">
          <cell r="C2133">
            <v>8010036964</v>
          </cell>
          <cell r="D2133" t="str">
            <v>给水用聚乙烯HDPE直管(2.0MPa)黑色 dn355 5.8M(IDN)</v>
          </cell>
          <cell r="E2133" t="str">
            <v>Pipa HDPE Polyethylene untuk Suplai Air (2.0 MPa) Warna Hitam dn355 5.8M(IDN)</v>
          </cell>
          <cell r="F2133">
            <v>1</v>
          </cell>
          <cell r="G2133">
            <v>11681767</v>
          </cell>
          <cell r="H2133">
            <v>10524115</v>
          </cell>
        </row>
        <row r="2133">
          <cell r="J2133" t="str">
            <v/>
          </cell>
        </row>
        <row r="2134">
          <cell r="C2134">
            <v>8010036965</v>
          </cell>
          <cell r="D2134" t="str">
            <v>给水用聚乙烯HDPE直管(2.0MPa)黑色 dn355 6M(IDN)</v>
          </cell>
          <cell r="E2134" t="str">
            <v>Pipa HDPE Polyethylene untuk Suplai Air (2.0 MPa) Warna Hitam dn355 6M(IDN)</v>
          </cell>
          <cell r="F2134">
            <v>1</v>
          </cell>
          <cell r="G2134">
            <v>12084576</v>
          </cell>
          <cell r="H2134">
            <v>10887006</v>
          </cell>
        </row>
        <row r="2134">
          <cell r="J2134" t="str">
            <v/>
          </cell>
        </row>
        <row r="2135">
          <cell r="C2135">
            <v>8010036966</v>
          </cell>
          <cell r="D2135" t="str">
            <v>给水用聚乙烯HDPE直管(2.0MPa)黑色 dn355 11.8M(IDN)</v>
          </cell>
          <cell r="E2135" t="str">
            <v>Pipa HDPE Polyethylene untuk Suplai Air (2.0 MPa) Warna Hitam dn355 11.8M(IDN)</v>
          </cell>
          <cell r="F2135">
            <v>1</v>
          </cell>
          <cell r="G2135">
            <v>23766343</v>
          </cell>
          <cell r="H2135">
            <v>21411120</v>
          </cell>
        </row>
        <row r="2135">
          <cell r="J2135" t="str">
            <v/>
          </cell>
        </row>
        <row r="2136">
          <cell r="C2136">
            <v>8010036967</v>
          </cell>
          <cell r="D2136" t="str">
            <v>给水用聚乙烯HDPE直管(2.0MPa)黑色 dn355 12M(IDN)</v>
          </cell>
          <cell r="E2136" t="str">
            <v>Pipa HDPE Polyethylene untuk Suplai Air (2.0 MPa) Warna Hitam dn355 12M(IDN)</v>
          </cell>
          <cell r="F2136">
            <v>1</v>
          </cell>
          <cell r="G2136">
            <v>24169151</v>
          </cell>
          <cell r="H2136">
            <v>21774010</v>
          </cell>
        </row>
        <row r="2136">
          <cell r="J2136" t="str">
            <v/>
          </cell>
        </row>
        <row r="2137">
          <cell r="C2137">
            <v>8010036968</v>
          </cell>
          <cell r="D2137" t="str">
            <v>给水用聚乙烯HDPE直管(2.5MPa)黑色 dn355 5.8M(IDN)</v>
          </cell>
          <cell r="E2137" t="str">
            <v>Pipa HDPE Polyethylene untuk Suplai Air (2.5 MPa) Warna Hitam dn355 5.8M(IDN)</v>
          </cell>
          <cell r="F2137">
            <v>1</v>
          </cell>
          <cell r="G2137">
            <v>13922965</v>
          </cell>
          <cell r="H2137">
            <v>12543212</v>
          </cell>
        </row>
        <row r="2137">
          <cell r="J2137" t="str">
            <v/>
          </cell>
        </row>
        <row r="2138">
          <cell r="C2138">
            <v>8010036969</v>
          </cell>
          <cell r="D2138" t="str">
            <v>给水用聚乙烯HDPE直管(2.5MPa)黑色 dn355 6M(IDN)</v>
          </cell>
          <cell r="E2138" t="str">
            <v>Pipa HDPE Polyethylene untuk Suplai Air (2.5 MPa) Warna Hitam dn355 6M(IDN)</v>
          </cell>
          <cell r="F2138">
            <v>1</v>
          </cell>
          <cell r="G2138">
            <v>14403046</v>
          </cell>
          <cell r="H2138">
            <v>12975718</v>
          </cell>
        </row>
        <row r="2138">
          <cell r="J2138" t="str">
            <v/>
          </cell>
        </row>
        <row r="2139">
          <cell r="C2139">
            <v>8010036970</v>
          </cell>
          <cell r="D2139" t="str">
            <v>给水用聚乙烯HDPE直管(2.5MPa)黑色 dn355 11.8M(IDN)</v>
          </cell>
          <cell r="E2139" t="str">
            <v>Pipa HDPE Polyethylene untuk Suplai Air (2.5 MPa) Warna Hitam dn355 11.8M(IDN)</v>
          </cell>
          <cell r="F2139">
            <v>1</v>
          </cell>
          <cell r="G2139">
            <v>28326011</v>
          </cell>
          <cell r="H2139">
            <v>25518929</v>
          </cell>
        </row>
        <row r="2139">
          <cell r="J2139" t="str">
            <v/>
          </cell>
        </row>
        <row r="2140">
          <cell r="C2140">
            <v>8010036971</v>
          </cell>
          <cell r="D2140" t="str">
            <v>给水用聚乙烯HDPE直管(2.5MPa)黑色 dn355 12M(IDN)</v>
          </cell>
          <cell r="E2140" t="str">
            <v>Pipa HDPE Polyethylene untuk Suplai Air (2.5 MPa) Warna Hitam dn355 12M(IDN)</v>
          </cell>
          <cell r="F2140">
            <v>1</v>
          </cell>
          <cell r="G2140">
            <v>28806092</v>
          </cell>
          <cell r="H2140">
            <v>25951435</v>
          </cell>
        </row>
        <row r="2140">
          <cell r="J2140" t="str">
            <v/>
          </cell>
        </row>
        <row r="2141">
          <cell r="C2141">
            <v>8010036972</v>
          </cell>
          <cell r="D2141" t="str">
            <v>给水用聚乙烯HDPE直管(0.6MPa)黑色 dn400 5.8M(IDN)</v>
          </cell>
          <cell r="E2141" t="str">
            <v>Pipa HDPE Polyethylene untuk Suplai Air (0.6 MPa) Warna Hitam dn400 5.8M(IDN)</v>
          </cell>
          <cell r="F2141">
            <v>1</v>
          </cell>
          <cell r="G2141">
            <v>5564205</v>
          </cell>
          <cell r="H2141">
            <v>5012798</v>
          </cell>
        </row>
        <row r="2141">
          <cell r="J2141" t="str">
            <v/>
          </cell>
        </row>
        <row r="2142">
          <cell r="C2142">
            <v>8010036973</v>
          </cell>
          <cell r="D2142" t="str">
            <v>给水用聚乙烯HDPE直管(0.6MPa)黑色 dn400 6M(IDN)</v>
          </cell>
          <cell r="E2142" t="str">
            <v>Pipa HDPE Polyethylene untuk Suplai Air (0.6 MPa) Warna Hitam dn400 6M(IDN)</v>
          </cell>
          <cell r="F2142">
            <v>1</v>
          </cell>
          <cell r="G2142">
            <v>5756053</v>
          </cell>
          <cell r="H2142">
            <v>5185634</v>
          </cell>
        </row>
        <row r="2142">
          <cell r="J2142" t="str">
            <v/>
          </cell>
        </row>
        <row r="2143">
          <cell r="C2143">
            <v>8010036974</v>
          </cell>
          <cell r="D2143" t="str">
            <v>给水用聚乙烯HDPE直管(0.6MPa)黑色 dn400 11.8M(IDN)</v>
          </cell>
          <cell r="E2143" t="str">
            <v>Pipa HDPE Polyethylene untuk Suplai Air (0.6 MPa) Warna Hitam dn400 11.8M(IDN)</v>
          </cell>
          <cell r="F2143">
            <v>1</v>
          </cell>
          <cell r="G2143">
            <v>11320258</v>
          </cell>
          <cell r="H2143">
            <v>10198431</v>
          </cell>
        </row>
        <row r="2143">
          <cell r="J2143" t="str">
            <v/>
          </cell>
        </row>
        <row r="2144">
          <cell r="C2144">
            <v>8010036975</v>
          </cell>
          <cell r="D2144" t="str">
            <v>给水用聚乙烯HDPE直管(0.6MPa)黑色 dn400 12M(IDN)</v>
          </cell>
          <cell r="E2144" t="str">
            <v>Pipa HDPE Polyethylene untuk Suplai Air (0.6 MPa) Warna Hitam dn400 12M(IDN)</v>
          </cell>
          <cell r="F2144">
            <v>1</v>
          </cell>
          <cell r="G2144">
            <v>11512106</v>
          </cell>
          <cell r="H2144">
            <v>10371267</v>
          </cell>
        </row>
        <row r="2144">
          <cell r="J2144" t="str">
            <v/>
          </cell>
        </row>
        <row r="2145">
          <cell r="C2145">
            <v>8010036976</v>
          </cell>
          <cell r="D2145" t="str">
            <v>给水用聚乙烯HDPE直管(0.8MPa)黑色 dn400 5.8M(IDN)</v>
          </cell>
          <cell r="E2145" t="str">
            <v>Pipa HDPE Polyethylene untuk Suplai Air (0.8 MPa) Warna Hitam dn400 5.8M(IDN)</v>
          </cell>
          <cell r="F2145">
            <v>1</v>
          </cell>
          <cell r="G2145">
            <v>6870401</v>
          </cell>
          <cell r="H2145">
            <v>6189551</v>
          </cell>
        </row>
        <row r="2145">
          <cell r="J2145" t="str">
            <v/>
          </cell>
        </row>
        <row r="2146">
          <cell r="C2146">
            <v>8010036977</v>
          </cell>
          <cell r="D2146" t="str">
            <v>给水用聚乙烯HDPE直管(0.8MPa)黑色 dn400 6M(IDN)</v>
          </cell>
          <cell r="E2146" t="str">
            <v>Pipa HDPE Polyethylene untuk Suplai Air (0.8 MPa) Warna Hitam dn400 6M(IDN)</v>
          </cell>
          <cell r="F2146">
            <v>1</v>
          </cell>
          <cell r="G2146">
            <v>7107290</v>
          </cell>
          <cell r="H2146">
            <v>6402964</v>
          </cell>
        </row>
        <row r="2146">
          <cell r="J2146" t="str">
            <v/>
          </cell>
        </row>
        <row r="2147">
          <cell r="C2147">
            <v>8010036978</v>
          </cell>
          <cell r="D2147" t="str">
            <v>给水用聚乙烯HDPE直管(0.8MPa)黑色 dn400 11.8M(IDN)</v>
          </cell>
          <cell r="E2147" t="str">
            <v>Pipa HDPE Polyethylene untuk Suplai Air (0.8 MPa) Warna Hitam dn400 11.8M(IDN)</v>
          </cell>
          <cell r="F2147">
            <v>1</v>
          </cell>
          <cell r="G2147">
            <v>13977691</v>
          </cell>
          <cell r="H2147">
            <v>12592515</v>
          </cell>
        </row>
        <row r="2147">
          <cell r="J2147" t="str">
            <v/>
          </cell>
        </row>
        <row r="2148">
          <cell r="C2148">
            <v>8010036979</v>
          </cell>
          <cell r="D2148" t="str">
            <v>给水用聚乙烯HDPE直管(0.8MPa)黑色 dn400 12M(IDN)</v>
          </cell>
          <cell r="E2148" t="str">
            <v>Pipa HDPE Polyethylene untuk Suplai Air (0.8 MPa) Warna Hitam dn400 12M(IDN)</v>
          </cell>
          <cell r="F2148">
            <v>1</v>
          </cell>
          <cell r="G2148">
            <v>14214580</v>
          </cell>
          <cell r="H2148">
            <v>12805928</v>
          </cell>
        </row>
        <row r="2148">
          <cell r="J2148" t="str">
            <v/>
          </cell>
        </row>
        <row r="2149">
          <cell r="C2149">
            <v>8010036984</v>
          </cell>
          <cell r="D2149" t="str">
            <v>给水用聚乙烯HDPE直管(1.25MPa)黑色 dn400 5.8M(IDN)</v>
          </cell>
          <cell r="E2149" t="str">
            <v>Pipa HDPE Polyethylene untuk Suplai Air (1.25 MPa) Warna Hitam dn400 5.8M(IDN)</v>
          </cell>
          <cell r="F2149">
            <v>1</v>
          </cell>
          <cell r="G2149">
            <v>10253412</v>
          </cell>
          <cell r="H2149">
            <v>9237309</v>
          </cell>
        </row>
        <row r="2149">
          <cell r="J2149" t="str">
            <v/>
          </cell>
        </row>
        <row r="2150">
          <cell r="C2150">
            <v>8010036985</v>
          </cell>
          <cell r="D2150" t="str">
            <v>给水用聚乙烯HDPE直管(1.25MPa)黑色 dn400 6M(IDN)</v>
          </cell>
          <cell r="E2150" t="str">
            <v>Pipa HDPE Polyethylene untuk Suplai Air (1.25 MPa) Warna Hitam dn400 6M(IDN)</v>
          </cell>
          <cell r="F2150">
            <v>1</v>
          </cell>
          <cell r="G2150">
            <v>10606977</v>
          </cell>
          <cell r="H2150">
            <v>9555836</v>
          </cell>
        </row>
        <row r="2150">
          <cell r="J2150" t="str">
            <v/>
          </cell>
        </row>
        <row r="2151">
          <cell r="C2151">
            <v>8010036986</v>
          </cell>
          <cell r="D2151" t="str">
            <v>给水用聚乙烯HDPE直管(1.25MPa)黑色 dn400 11.8M(IDN)</v>
          </cell>
          <cell r="E2151" t="str">
            <v>Pipa HDPE Polyethylene untuk Suplai Air (1.25 MPa) Warna Hitam dn400 11.8M(IDN)</v>
          </cell>
          <cell r="F2151">
            <v>1</v>
          </cell>
          <cell r="G2151">
            <v>20860389</v>
          </cell>
          <cell r="H2151">
            <v>18793144</v>
          </cell>
        </row>
        <row r="2151">
          <cell r="J2151" t="str">
            <v/>
          </cell>
        </row>
        <row r="2152">
          <cell r="C2152">
            <v>8010036987</v>
          </cell>
          <cell r="D2152" t="str">
            <v>给水用聚乙烯HDPE直管(1.25MPa)黑色 dn400 12M(IDN)</v>
          </cell>
          <cell r="E2152" t="str">
            <v>Pipa HDPE Polyethylene untuk Suplai Air (1.25 MPa) Warna Hitam dn400 12M(IDN)</v>
          </cell>
          <cell r="F2152">
            <v>1</v>
          </cell>
          <cell r="G2152">
            <v>21213955</v>
          </cell>
          <cell r="H2152">
            <v>19111672</v>
          </cell>
        </row>
        <row r="2152">
          <cell r="J2152" t="str">
            <v/>
          </cell>
        </row>
        <row r="2153">
          <cell r="C2153">
            <v>8010036992</v>
          </cell>
          <cell r="D2153" t="str">
            <v>给水用聚乙烯HDPE直管(2.0MPa)黑色 dn400 5.8M(IDN)</v>
          </cell>
          <cell r="E2153" t="str">
            <v>Pipa HDPE Polyethylene untuk Suplai Air (2.0 MPa) Warna Hitam dn400 5.8M(IDN)</v>
          </cell>
          <cell r="F2153">
            <v>1</v>
          </cell>
          <cell r="G2153">
            <v>14895681</v>
          </cell>
          <cell r="H2153">
            <v>13419533</v>
          </cell>
        </row>
        <row r="2153">
          <cell r="J2153" t="str">
            <v/>
          </cell>
        </row>
        <row r="2154">
          <cell r="C2154">
            <v>8010036993</v>
          </cell>
          <cell r="D2154" t="str">
            <v>给水用聚乙烯HDPE直管(2.0MPa)黑色 dn400 6M(IDN)</v>
          </cell>
          <cell r="E2154" t="str">
            <v>Pipa HDPE Polyethylene untuk Suplai Air (2.0 MPa) Warna Hitam dn400 6M(IDN)</v>
          </cell>
          <cell r="F2154">
            <v>1</v>
          </cell>
          <cell r="G2154">
            <v>15409325</v>
          </cell>
          <cell r="H2154">
            <v>13882275</v>
          </cell>
        </row>
        <row r="2154">
          <cell r="J2154" t="str">
            <v/>
          </cell>
        </row>
        <row r="2155">
          <cell r="C2155">
            <v>8010036994</v>
          </cell>
          <cell r="D2155" t="str">
            <v>给水用聚乙烯HDPE直管(2.0MPa)黑色 dn400 11.8M(IDN)</v>
          </cell>
          <cell r="E2155" t="str">
            <v>Pipa HDPE Polyethylene untuk Suplai Air (2.0 MPa) Warna Hitam dn400 11.8M(IDN)</v>
          </cell>
          <cell r="F2155">
            <v>1</v>
          </cell>
          <cell r="G2155">
            <v>30305006</v>
          </cell>
          <cell r="H2155">
            <v>27301808</v>
          </cell>
        </row>
        <row r="2155">
          <cell r="J2155" t="str">
            <v/>
          </cell>
        </row>
        <row r="2156">
          <cell r="C2156">
            <v>8010036995</v>
          </cell>
          <cell r="D2156" t="str">
            <v>给水用聚乙烯HDPE直管(2.0MPa)黑色 dn400 12M(IDN)</v>
          </cell>
          <cell r="E2156" t="str">
            <v>Pipa HDPE Polyethylene untuk Suplai Air (2.0 MPa) Warna Hitam dn400 12M(IDN)</v>
          </cell>
          <cell r="F2156">
            <v>1</v>
          </cell>
          <cell r="G2156">
            <v>30818650</v>
          </cell>
          <cell r="H2156">
            <v>27764550</v>
          </cell>
        </row>
        <row r="2156">
          <cell r="J2156" t="str">
            <v/>
          </cell>
        </row>
        <row r="2157">
          <cell r="C2157">
            <v>8010036996</v>
          </cell>
          <cell r="D2157" t="str">
            <v>给水用聚乙烯HDPE直管(2.5MPa)黑色 dn400 5.8M(IDN)</v>
          </cell>
          <cell r="E2157" t="str">
            <v>Pipa HDPE Polyethylene untuk Suplai Air (2.5 MPa) Warna Hitam dn400 5.8M(IDN)</v>
          </cell>
          <cell r="F2157">
            <v>1</v>
          </cell>
          <cell r="G2157">
            <v>17683420</v>
          </cell>
          <cell r="H2157">
            <v>15931010</v>
          </cell>
        </row>
        <row r="2157">
          <cell r="J2157" t="str">
            <v/>
          </cell>
        </row>
        <row r="2158">
          <cell r="C2158">
            <v>8010036997</v>
          </cell>
          <cell r="D2158" t="str">
            <v>给水用聚乙烯HDPE直管(2.5MPa)黑色 dn400 6M(IDN)</v>
          </cell>
          <cell r="E2158" t="str">
            <v>Pipa HDPE Polyethylene untuk Suplai Air (2.5 MPa) Warna Hitam dn400 6M(IDN)</v>
          </cell>
          <cell r="F2158">
            <v>1</v>
          </cell>
          <cell r="G2158">
            <v>18293193</v>
          </cell>
          <cell r="H2158">
            <v>16480355</v>
          </cell>
        </row>
        <row r="2158">
          <cell r="J2158" t="str">
            <v/>
          </cell>
        </row>
        <row r="2159">
          <cell r="C2159">
            <v>8010036998</v>
          </cell>
          <cell r="D2159" t="str">
            <v>给水用聚乙烯HDPE直管(2.5MPa)黑色 dn400 11.8M(IDN)</v>
          </cell>
          <cell r="E2159" t="str">
            <v>Pipa HDPE Polyethylene untuk Suplai Air (2.5 MPa) Warna Hitam dn400 11.8M(IDN)</v>
          </cell>
          <cell r="F2159">
            <v>1</v>
          </cell>
          <cell r="G2159">
            <v>35976614</v>
          </cell>
          <cell r="H2159">
            <v>32411364</v>
          </cell>
        </row>
        <row r="2159">
          <cell r="J2159" t="str">
            <v/>
          </cell>
        </row>
        <row r="2160">
          <cell r="C2160">
            <v>8010036999</v>
          </cell>
          <cell r="D2160" t="str">
            <v>给水用聚乙烯HDPE直管(2.5MPa)黑色 dn400 12M(IDN)</v>
          </cell>
          <cell r="E2160" t="str">
            <v>Pipa HDPE Polyethylene untuk Suplai Air (2.5 MPa) Warna Hitam dn400 12M(IDN)</v>
          </cell>
          <cell r="F2160">
            <v>1</v>
          </cell>
          <cell r="G2160">
            <v>36586387</v>
          </cell>
          <cell r="H2160">
            <v>32960710</v>
          </cell>
        </row>
        <row r="2160">
          <cell r="J2160" t="str">
            <v/>
          </cell>
        </row>
        <row r="2161">
          <cell r="C2161">
            <v>8010037000</v>
          </cell>
          <cell r="D2161" t="str">
            <v>给水用聚乙烯HDPE直管(0.6MPa)黑色 dn450 5.8M(IDN)</v>
          </cell>
          <cell r="E2161" t="str">
            <v>Pipa HDPE Polyethylene untuk Suplai Air (0.6 MPa) Warna Hitam dn450 5.8M(IDN)</v>
          </cell>
          <cell r="F2161">
            <v>1</v>
          </cell>
          <cell r="G2161">
            <v>7035347</v>
          </cell>
          <cell r="H2161">
            <v>6338151</v>
          </cell>
        </row>
        <row r="2161">
          <cell r="J2161" t="str">
            <v/>
          </cell>
        </row>
        <row r="2162">
          <cell r="C2162">
            <v>8010037001</v>
          </cell>
          <cell r="D2162" t="str">
            <v>给水用聚乙烯HDPE直管(0.6MPa)黑色 dn450 6M(IDN)</v>
          </cell>
          <cell r="E2162" t="str">
            <v>Pipa HDPE Polyethylene untuk Suplai Air (0.6 MPa) Warna Hitam dn450 6M(IDN)</v>
          </cell>
          <cell r="F2162">
            <v>1</v>
          </cell>
          <cell r="G2162">
            <v>7277924</v>
          </cell>
          <cell r="H2162">
            <v>6556689</v>
          </cell>
        </row>
        <row r="2162">
          <cell r="J2162" t="str">
            <v/>
          </cell>
        </row>
        <row r="2163">
          <cell r="C2163">
            <v>8010037002</v>
          </cell>
          <cell r="D2163" t="str">
            <v>给水用聚乙烯HDPE直管(0.6MPa)黑色 dn450 11.8M(IDN)</v>
          </cell>
          <cell r="E2163" t="str">
            <v>Pipa HDPE Polyethylene untuk Suplai Air (0.6 MPa) Warna Hitam dn450 11.8M(IDN)</v>
          </cell>
          <cell r="F2163">
            <v>1</v>
          </cell>
          <cell r="G2163">
            <v>14313271</v>
          </cell>
          <cell r="H2163">
            <v>12894839</v>
          </cell>
        </row>
        <row r="2163">
          <cell r="J2163" t="str">
            <v/>
          </cell>
        </row>
        <row r="2164">
          <cell r="C2164">
            <v>8010037003</v>
          </cell>
          <cell r="D2164" t="str">
            <v>给水用聚乙烯HDPE直管(0.6MPa)黑色 dn450 12M(IDN)</v>
          </cell>
          <cell r="E2164" t="str">
            <v>Pipa HDPE Polyethylene untuk Suplai Air (0.6 MPa) Warna Hitam dn450 12M(IDN)</v>
          </cell>
          <cell r="F2164">
            <v>1</v>
          </cell>
          <cell r="G2164">
            <v>14555848</v>
          </cell>
          <cell r="H2164">
            <v>13113377</v>
          </cell>
        </row>
        <row r="2164">
          <cell r="J2164" t="str">
            <v/>
          </cell>
        </row>
        <row r="2165">
          <cell r="C2165">
            <v>8010037004</v>
          </cell>
          <cell r="D2165" t="str">
            <v>给水用聚乙烯HDPE直管(0.8MPa)黑色 dn450 5.8M(IDN)</v>
          </cell>
          <cell r="E2165" t="str">
            <v>Pipa HDPE Polyethylene untuk Suplai Air (0.8 MPa) Warna Hitam dn450 5.8M(IDN)</v>
          </cell>
          <cell r="F2165">
            <v>1</v>
          </cell>
          <cell r="G2165">
            <v>8688344</v>
          </cell>
          <cell r="H2165">
            <v>7827337</v>
          </cell>
        </row>
        <row r="2165">
          <cell r="J2165" t="str">
            <v/>
          </cell>
        </row>
        <row r="2166">
          <cell r="C2166">
            <v>8010037005</v>
          </cell>
          <cell r="D2166" t="str">
            <v>给水用聚乙烯HDPE直管(0.8MPa)黑色 dn450 6M(IDN)</v>
          </cell>
          <cell r="E2166" t="str">
            <v>Pipa HDPE Polyethylene untuk Suplai Air (0.8 MPa) Warna Hitam dn450 6M(IDN)</v>
          </cell>
          <cell r="F2166">
            <v>1</v>
          </cell>
          <cell r="G2166">
            <v>8987953</v>
          </cell>
          <cell r="H2166">
            <v>8097255</v>
          </cell>
        </row>
        <row r="2166">
          <cell r="J2166" t="str">
            <v/>
          </cell>
        </row>
        <row r="2167">
          <cell r="C2167">
            <v>8010037006</v>
          </cell>
          <cell r="D2167" t="str">
            <v>给水用聚乙烯HDPE直管(0.8MPa)黑色 dn450 11.8M(IDN)</v>
          </cell>
          <cell r="E2167" t="str">
            <v>Pipa HDPE Polyethylene untuk Suplai Air (0.8 MPa) Warna Hitam dn450 11.8M(IDN)</v>
          </cell>
          <cell r="F2167">
            <v>1</v>
          </cell>
          <cell r="G2167">
            <v>17676298</v>
          </cell>
          <cell r="H2167">
            <v>15924593</v>
          </cell>
        </row>
        <row r="2167">
          <cell r="J2167" t="str">
            <v/>
          </cell>
        </row>
        <row r="2168">
          <cell r="C2168">
            <v>8010037007</v>
          </cell>
          <cell r="D2168" t="str">
            <v>给水用聚乙烯HDPE直管(0.8MPa)黑色 dn450 12M(IDN)</v>
          </cell>
          <cell r="E2168" t="str">
            <v>Pipa HDPE Polyethylene untuk Suplai Air (0.8 MPa) Warna Hitam dn450 12M(IDN)</v>
          </cell>
          <cell r="F2168">
            <v>1</v>
          </cell>
          <cell r="G2168">
            <v>17975906</v>
          </cell>
          <cell r="H2168">
            <v>16194510</v>
          </cell>
        </row>
        <row r="2168">
          <cell r="J2168" t="str">
            <v/>
          </cell>
        </row>
        <row r="2169">
          <cell r="C2169">
            <v>8010037012</v>
          </cell>
          <cell r="D2169" t="str">
            <v>给水用聚乙烯HDPE直管(1.25MPa)黑色 dn450 5.8M(IDN)</v>
          </cell>
          <cell r="E2169" t="str">
            <v>Pipa HDPE Polyethylene untuk Suplai Air (1.25 MPa) Warna Hitam dn450 5.8M(IDN)</v>
          </cell>
          <cell r="F2169">
            <v>1</v>
          </cell>
          <cell r="G2169">
            <v>12987655</v>
          </cell>
          <cell r="H2169">
            <v>11700591</v>
          </cell>
        </row>
        <row r="2169">
          <cell r="J2169" t="str">
            <v/>
          </cell>
        </row>
        <row r="2170">
          <cell r="C2170">
            <v>8010037013</v>
          </cell>
          <cell r="D2170" t="str">
            <v>给水用聚乙烯HDPE直管(1.25MPa)黑色 dn450 6M(IDN)</v>
          </cell>
          <cell r="E2170" t="str">
            <v>Pipa HDPE Polyethylene untuk Suplai Air (1.25 MPa) Warna Hitam dn450 6M(IDN)</v>
          </cell>
          <cell r="F2170">
            <v>1</v>
          </cell>
          <cell r="G2170">
            <v>13435505</v>
          </cell>
          <cell r="H2170">
            <v>12104059</v>
          </cell>
        </row>
        <row r="2170">
          <cell r="J2170" t="str">
            <v/>
          </cell>
        </row>
        <row r="2171">
          <cell r="C2171">
            <v>8010037014</v>
          </cell>
          <cell r="D2171" t="str">
            <v>给水用聚乙烯HDPE直管(1.25MPa)黑色 dn450 11.8M(IDN)</v>
          </cell>
          <cell r="E2171" t="str">
            <v>Pipa HDPE Polyethylene untuk Suplai Air (1.25 MPa) Warna Hitam dn450 11.8M(IDN)</v>
          </cell>
          <cell r="F2171">
            <v>1</v>
          </cell>
          <cell r="G2171">
            <v>26423160</v>
          </cell>
          <cell r="H2171">
            <v>23804649</v>
          </cell>
        </row>
        <row r="2171">
          <cell r="J2171" t="str">
            <v/>
          </cell>
        </row>
        <row r="2172">
          <cell r="C2172">
            <v>8010037015</v>
          </cell>
          <cell r="D2172" t="str">
            <v>给水用聚乙烯HDPE直管(1.25MPa)黑色 dn450 12M(IDN)</v>
          </cell>
          <cell r="E2172" t="str">
            <v>Pipa HDPE Polyethylene untuk Suplai Air (1.25 MPa) Warna Hitam dn450 12M(IDN)</v>
          </cell>
          <cell r="F2172">
            <v>1</v>
          </cell>
          <cell r="G2172">
            <v>26871010</v>
          </cell>
          <cell r="H2172">
            <v>24208118</v>
          </cell>
        </row>
        <row r="2172">
          <cell r="J2172" t="str">
            <v/>
          </cell>
        </row>
        <row r="2173">
          <cell r="C2173">
            <v>8010037020</v>
          </cell>
          <cell r="D2173" t="str">
            <v>给水用聚乙烯HDPE直管(2.0MPa)黑色 dn450 5.8M(IDN)</v>
          </cell>
          <cell r="E2173" t="str">
            <v>Pipa HDPE Polyethylene untuk Suplai Air (2.0 MPa) Warna Hitam dn450 5.8M(IDN)</v>
          </cell>
          <cell r="F2173">
            <v>1</v>
          </cell>
          <cell r="G2173">
            <v>18860026</v>
          </cell>
          <cell r="H2173">
            <v>16991015</v>
          </cell>
        </row>
        <row r="2173">
          <cell r="J2173" t="str">
            <v/>
          </cell>
        </row>
        <row r="2174">
          <cell r="C2174">
            <v>8010037021</v>
          </cell>
          <cell r="D2174" t="str">
            <v>给水用聚乙烯HDPE直管(2.0MPa)黑色 dn450 6M(IDN)</v>
          </cell>
          <cell r="E2174" t="str">
            <v>Pipa HDPE Polyethylene untuk Suplai Air (2.0 MPa) Warna Hitam dn450 6M(IDN)</v>
          </cell>
          <cell r="F2174">
            <v>1</v>
          </cell>
          <cell r="G2174">
            <v>19510382</v>
          </cell>
          <cell r="H2174">
            <v>17576921</v>
          </cell>
        </row>
        <row r="2174">
          <cell r="J2174" t="str">
            <v/>
          </cell>
        </row>
        <row r="2175">
          <cell r="C2175">
            <v>8010037022</v>
          </cell>
          <cell r="D2175" t="str">
            <v>给水用聚乙烯HDPE直管(2.0MPa)黑色 dn450 11.8M(IDN)</v>
          </cell>
          <cell r="E2175" t="str">
            <v>Pipa HDPE Polyethylene untuk Suplai Air (2.0 MPa) Warna Hitam dn450 11.8M(IDN)</v>
          </cell>
          <cell r="F2175">
            <v>1</v>
          </cell>
          <cell r="G2175">
            <v>38370409</v>
          </cell>
          <cell r="H2175">
            <v>34567937</v>
          </cell>
        </row>
        <row r="2175">
          <cell r="J2175" t="str">
            <v/>
          </cell>
        </row>
        <row r="2176">
          <cell r="C2176">
            <v>8010037023</v>
          </cell>
          <cell r="D2176" t="str">
            <v>给水用聚乙烯HDPE直管(2.0MPa)黑色 dn450 12M(IDN)</v>
          </cell>
          <cell r="E2176" t="str">
            <v>Pipa HDPE Polyethylene untuk Suplai Air (2.0 MPa) Warna Hitam dn450 12M(IDN)</v>
          </cell>
          <cell r="F2176">
            <v>1</v>
          </cell>
          <cell r="G2176">
            <v>39020765</v>
          </cell>
          <cell r="H2176">
            <v>35153843</v>
          </cell>
        </row>
        <row r="2176">
          <cell r="J2176" t="str">
            <v/>
          </cell>
        </row>
        <row r="2177">
          <cell r="C2177">
            <v>8010037024</v>
          </cell>
          <cell r="D2177" t="str">
            <v>给水用聚乙烯HDPE直管(2.5MPa)黑色 dn450 5.8M(IDN)</v>
          </cell>
          <cell r="E2177" t="str">
            <v>Pipa HDPE Polyethylene untuk Suplai Air (2.5 MPa) Warna Hitam dn450 5.8M(IDN)</v>
          </cell>
          <cell r="F2177">
            <v>1</v>
          </cell>
          <cell r="G2177">
            <v>22369655</v>
          </cell>
          <cell r="H2177">
            <v>20152843</v>
          </cell>
        </row>
        <row r="2177">
          <cell r="J2177" t="str">
            <v/>
          </cell>
        </row>
        <row r="2178">
          <cell r="C2178">
            <v>8010037025</v>
          </cell>
          <cell r="D2178" t="str">
            <v>给水用聚乙烯HDPE直管(2.5MPa)黑色 dn450 6M(IDN)</v>
          </cell>
          <cell r="E2178" t="str">
            <v>Pipa HDPE Polyethylene untuk Suplai Air (2.5 MPa) Warna Hitam dn450 6M(IDN)</v>
          </cell>
          <cell r="F2178">
            <v>1</v>
          </cell>
          <cell r="G2178">
            <v>23141043</v>
          </cell>
          <cell r="H2178">
            <v>20847787</v>
          </cell>
        </row>
        <row r="2178">
          <cell r="J2178" t="str">
            <v/>
          </cell>
        </row>
        <row r="2179">
          <cell r="C2179">
            <v>8010037026</v>
          </cell>
          <cell r="D2179" t="str">
            <v>给水用聚乙烯HDPE直管(2.5MPa)黑色 dn450 11.8M(IDN)</v>
          </cell>
          <cell r="E2179" t="str">
            <v>Pipa HDPE Polyethylene untuk Suplai Air (2.5 MPa) Warna Hitam dn450 11.8M(IDN)</v>
          </cell>
          <cell r="F2179">
            <v>1</v>
          </cell>
          <cell r="G2179">
            <v>45510698</v>
          </cell>
          <cell r="H2179">
            <v>41000629</v>
          </cell>
        </row>
        <row r="2179">
          <cell r="J2179" t="str">
            <v/>
          </cell>
        </row>
        <row r="2180">
          <cell r="C2180">
            <v>8010037027</v>
          </cell>
          <cell r="D2180" t="str">
            <v>给水用聚乙烯HDPE直管(2.5MPa)黑色 dn450 12M(IDN)</v>
          </cell>
          <cell r="E2180" t="str">
            <v>Pipa HDPE Polyethylene untuk Suplai Air (2.5 MPa) Warna Hitam dn450 12M(IDN)</v>
          </cell>
          <cell r="F2180">
            <v>1</v>
          </cell>
          <cell r="G2180">
            <v>46282087</v>
          </cell>
          <cell r="H2180">
            <v>41695574</v>
          </cell>
        </row>
        <row r="2180">
          <cell r="J2180" t="str">
            <v/>
          </cell>
        </row>
        <row r="2181">
          <cell r="C2181">
            <v>8010037028</v>
          </cell>
          <cell r="D2181" t="str">
            <v>给水用聚乙烯HDPE直管(0.6MPa)黑色 dn500 5.8M(IDN)</v>
          </cell>
          <cell r="E2181" t="str">
            <v>Pipa HDPE Polyethylene untuk Suplai Air (0.6 MPa) Warna Hitam dn500 5.8M(IDN)</v>
          </cell>
          <cell r="F2181">
            <v>1</v>
          </cell>
          <cell r="G2181">
            <v>8678557</v>
          </cell>
          <cell r="H2181">
            <v>7818520</v>
          </cell>
        </row>
        <row r="2181">
          <cell r="J2181" t="str">
            <v/>
          </cell>
        </row>
        <row r="2182">
          <cell r="C2182">
            <v>8010037029</v>
          </cell>
          <cell r="D2182" t="str">
            <v>给水用聚乙烯HDPE直管(0.6MPa)黑色 dn500 6M(IDN)</v>
          </cell>
          <cell r="E2182" t="str">
            <v>Pipa HDPE Polyethylene untuk Suplai Air (0.6 MPa) Warna Hitam dn500 6M(IDN)</v>
          </cell>
          <cell r="F2182">
            <v>1</v>
          </cell>
          <cell r="G2182">
            <v>8977807</v>
          </cell>
          <cell r="H2182">
            <v>8088115</v>
          </cell>
        </row>
        <row r="2182">
          <cell r="J2182" t="str">
            <v/>
          </cell>
        </row>
        <row r="2183">
          <cell r="C2183">
            <v>8010037030</v>
          </cell>
          <cell r="D2183" t="str">
            <v>给水用聚乙烯HDPE直管(0.6MPa)黑色 dn500 11.8M(IDN)</v>
          </cell>
          <cell r="E2183" t="str">
            <v>Pipa HDPE Polyethylene untuk Suplai Air (0.6 MPa) Warna Hitam dn500 11.8M(IDN)</v>
          </cell>
          <cell r="F2183">
            <v>1</v>
          </cell>
          <cell r="G2183">
            <v>17656365</v>
          </cell>
          <cell r="H2183">
            <v>15906636</v>
          </cell>
        </row>
        <row r="2183">
          <cell r="J2183" t="str">
            <v/>
          </cell>
        </row>
        <row r="2184">
          <cell r="C2184">
            <v>8010037031</v>
          </cell>
          <cell r="D2184" t="str">
            <v>给水用聚乙烯HDPE直管(0.6MPa)黑色 dn500 12M(IDN)</v>
          </cell>
          <cell r="E2184" t="str">
            <v>Pipa HDPE Polyethylene untuk Suplai Air (0.6 MPa) Warna Hitam dn500 12M(IDN)</v>
          </cell>
          <cell r="F2184">
            <v>1</v>
          </cell>
          <cell r="G2184">
            <v>17955615</v>
          </cell>
          <cell r="H2184">
            <v>16176230</v>
          </cell>
        </row>
        <row r="2184">
          <cell r="J2184" t="str">
            <v/>
          </cell>
        </row>
        <row r="2185">
          <cell r="C2185">
            <v>8010037032</v>
          </cell>
          <cell r="D2185" t="str">
            <v>给水用聚乙烯HDPE直管(0.8MPa)黑色 dn500 5.8M(IDN)</v>
          </cell>
          <cell r="E2185" t="str">
            <v>Pipa HDPE Polyethylene untuk Suplai Air (0.8 MPa) Warna Hitam dn500 5.8M(IDN)</v>
          </cell>
          <cell r="F2185">
            <v>1</v>
          </cell>
          <cell r="G2185">
            <v>10719709</v>
          </cell>
          <cell r="H2185">
            <v>9657396</v>
          </cell>
        </row>
        <row r="2185">
          <cell r="J2185" t="str">
            <v/>
          </cell>
        </row>
        <row r="2186">
          <cell r="C2186">
            <v>8010037033</v>
          </cell>
          <cell r="D2186" t="str">
            <v>给水用聚乙烯HDPE直管(0.8MPa)黑色 dn500 6M(IDN)</v>
          </cell>
          <cell r="E2186" t="str">
            <v>Pipa HDPE Polyethylene untuk Suplai Air (0.8 MPa) Warna Hitam dn500 6M(IDN)</v>
          </cell>
          <cell r="F2186">
            <v>1</v>
          </cell>
          <cell r="G2186">
            <v>11089364</v>
          </cell>
          <cell r="H2186">
            <v>9990419</v>
          </cell>
        </row>
        <row r="2186">
          <cell r="J2186" t="str">
            <v/>
          </cell>
        </row>
        <row r="2187">
          <cell r="C2187">
            <v>8010037034</v>
          </cell>
          <cell r="D2187" t="str">
            <v>给水用聚乙烯HDPE直管(0.8MPa)黑色 dn500 11.8M(IDN)</v>
          </cell>
          <cell r="E2187" t="str">
            <v>Pipa HDPE Polyethylene untuk Suplai Air (0.8 MPa) Warna Hitam dn500 11.8M(IDN)</v>
          </cell>
          <cell r="F2187">
            <v>1</v>
          </cell>
          <cell r="G2187">
            <v>21809073</v>
          </cell>
          <cell r="H2187">
            <v>19647814</v>
          </cell>
        </row>
        <row r="2187">
          <cell r="J2187" t="str">
            <v/>
          </cell>
        </row>
        <row r="2188">
          <cell r="C2188">
            <v>8010037035</v>
          </cell>
          <cell r="D2188" t="str">
            <v>给水用聚乙烯HDPE直管(0.8MPa)黑色 dn500 12M(IDN)</v>
          </cell>
          <cell r="E2188" t="str">
            <v>Pipa HDPE Polyethylene untuk Suplai Air (0.8 MPa) Warna Hitam dn500 12M(IDN)</v>
          </cell>
          <cell r="F2188">
            <v>1</v>
          </cell>
          <cell r="G2188">
            <v>22178729</v>
          </cell>
          <cell r="H2188">
            <v>19980837</v>
          </cell>
        </row>
        <row r="2188">
          <cell r="J2188" t="str">
            <v/>
          </cell>
        </row>
        <row r="2189">
          <cell r="C2189">
            <v>8010037040</v>
          </cell>
          <cell r="D2189" t="str">
            <v>给水用聚乙烯HDPE直管(1.25MPa)黑色 dn500 5.8M(IDN)</v>
          </cell>
          <cell r="E2189" t="str">
            <v>Pipa HDPE Polyethylene untuk Suplai Air (1.25 MPa) Warna Hitam dn500 5.8M(IDN)</v>
          </cell>
          <cell r="F2189">
            <v>1</v>
          </cell>
          <cell r="G2189">
            <v>16025913</v>
          </cell>
          <cell r="H2189">
            <v>14437760</v>
          </cell>
        </row>
        <row r="2189">
          <cell r="J2189" t="str">
            <v/>
          </cell>
        </row>
        <row r="2190">
          <cell r="C2190">
            <v>8010037041</v>
          </cell>
          <cell r="D2190" t="str">
            <v>给水用聚乙烯HDPE直管(1.25MPa)黑色 dn500 6M(IDN)</v>
          </cell>
          <cell r="E2190" t="str">
            <v>Pipa HDPE Polyethylene untuk Suplai Air (1.25 MPa) Warna Hitam dn500 6M(IDN)</v>
          </cell>
          <cell r="F2190">
            <v>1</v>
          </cell>
          <cell r="G2190">
            <v>16578552</v>
          </cell>
          <cell r="H2190">
            <v>14935633</v>
          </cell>
        </row>
        <row r="2190">
          <cell r="J2190" t="str">
            <v/>
          </cell>
        </row>
        <row r="2191">
          <cell r="C2191">
            <v>8010037042</v>
          </cell>
          <cell r="D2191" t="str">
            <v>给水用聚乙烯HDPE直管(1.25MPa)黑色 dn500 11.8M(IDN)</v>
          </cell>
          <cell r="E2191" t="str">
            <v>Pipa HDPE Polyethylene untuk Suplai Air (1.25 MPa) Warna Hitam dn500 11.8M(IDN)</v>
          </cell>
          <cell r="F2191">
            <v>1</v>
          </cell>
          <cell r="G2191">
            <v>32604466</v>
          </cell>
          <cell r="H2191">
            <v>29373393</v>
          </cell>
        </row>
        <row r="2191">
          <cell r="J2191" t="str">
            <v/>
          </cell>
        </row>
        <row r="2192">
          <cell r="C2192">
            <v>8010037043</v>
          </cell>
          <cell r="D2192" t="str">
            <v>给水用聚乙烯HDPE直管(1.25MPa)黑色 dn500 12M(IDN)</v>
          </cell>
          <cell r="E2192" t="str">
            <v>Pipa HDPE Polyethylene untuk Suplai Air (1.25 MPa) Warna Hitam dn500 12M(IDN)</v>
          </cell>
          <cell r="F2192">
            <v>1</v>
          </cell>
          <cell r="G2192">
            <v>33157105</v>
          </cell>
          <cell r="H2192">
            <v>29871266</v>
          </cell>
        </row>
        <row r="2192">
          <cell r="J2192" t="str">
            <v/>
          </cell>
        </row>
        <row r="2193">
          <cell r="C2193">
            <v>8010037048</v>
          </cell>
          <cell r="D2193" t="str">
            <v>给水用聚乙烯HDPE直管(2.0MPa)黑色 dn500 5.8M(IDN)</v>
          </cell>
          <cell r="E2193" t="str">
            <v>Pipa HDPE Polyethylene untuk Suplai Air (2.0 MPa) Warna Hitam dn500 5.8M(IDN)</v>
          </cell>
          <cell r="F2193">
            <v>1</v>
          </cell>
          <cell r="G2193">
            <v>23240195</v>
          </cell>
          <cell r="H2193">
            <v>20937113</v>
          </cell>
        </row>
        <row r="2193">
          <cell r="J2193" t="str">
            <v/>
          </cell>
        </row>
        <row r="2194">
          <cell r="C2194">
            <v>8010037049</v>
          </cell>
          <cell r="D2194" t="str">
            <v>给水用聚乙烯HDPE直管(2.0MPa)黑色 dn500 6M(IDN)</v>
          </cell>
          <cell r="E2194" t="str">
            <v>Pipa HDPE Polyethylene untuk Suplai Air (2.0 MPa) Warna Hitam dn500 6M(IDN)</v>
          </cell>
          <cell r="F2194">
            <v>1</v>
          </cell>
          <cell r="G2194">
            <v>24041560</v>
          </cell>
          <cell r="H2194">
            <v>21659064</v>
          </cell>
        </row>
        <row r="2194">
          <cell r="J2194" t="str">
            <v/>
          </cell>
        </row>
        <row r="2195">
          <cell r="C2195">
            <v>8010037050</v>
          </cell>
          <cell r="D2195" t="str">
            <v>给水用聚乙烯HDPE直管(2.0MPa)黑色 dn500 11.8M(IDN)</v>
          </cell>
          <cell r="E2195" t="str">
            <v>Pipa HDPE Polyethylene untuk Suplai Air (2.0 MPa) Warna Hitam dn500 11.8M(IDN)</v>
          </cell>
          <cell r="F2195">
            <v>1</v>
          </cell>
          <cell r="G2195">
            <v>47281756</v>
          </cell>
          <cell r="H2195">
            <v>42596177</v>
          </cell>
        </row>
        <row r="2195">
          <cell r="J2195" t="str">
            <v/>
          </cell>
        </row>
        <row r="2196">
          <cell r="C2196">
            <v>8010037051</v>
          </cell>
          <cell r="D2196" t="str">
            <v>给水用聚乙烯HDPE直管(2.0MPa)黑色 dn500 12M(IDN)</v>
          </cell>
          <cell r="E2196" t="str">
            <v>Pipa HDPE Polyethylene untuk Suplai Air (2.0 MPa) Warna Hitam dn500 12M(IDN)</v>
          </cell>
          <cell r="F2196">
            <v>1</v>
          </cell>
          <cell r="G2196">
            <v>48083121</v>
          </cell>
          <cell r="H2196">
            <v>43318128</v>
          </cell>
        </row>
        <row r="2196">
          <cell r="J2196" t="str">
            <v/>
          </cell>
        </row>
        <row r="2197">
          <cell r="C2197">
            <v>8010037052</v>
          </cell>
          <cell r="D2197" t="str">
            <v>给水用聚乙烯HDPE直管(0.6MPa)黑色 dn560 5.8M(IDN)</v>
          </cell>
          <cell r="E2197" t="str">
            <v>Pipa HDPE Polyethylene untuk Suplai Air (0.6 MPa) Warna Hitam dn560 5.8M(IDN)</v>
          </cell>
          <cell r="F2197">
            <v>1</v>
          </cell>
          <cell r="G2197">
            <v>10878711</v>
          </cell>
          <cell r="H2197">
            <v>9800641</v>
          </cell>
        </row>
        <row r="2197">
          <cell r="J2197" t="str">
            <v/>
          </cell>
        </row>
        <row r="2198">
          <cell r="C2198">
            <v>8010037053</v>
          </cell>
          <cell r="D2198" t="str">
            <v>给水用聚乙烯HDPE直管(0.6MPa)黑色 dn560 6M(IDN)</v>
          </cell>
          <cell r="E2198" t="str">
            <v>Pipa HDPE Polyethylene untuk Suplai Air (0.6 MPa) Warna Hitam dn560 6M(IDN)</v>
          </cell>
          <cell r="F2198">
            <v>1</v>
          </cell>
          <cell r="G2198">
            <v>11253849</v>
          </cell>
          <cell r="H2198">
            <v>10138603</v>
          </cell>
        </row>
        <row r="2198">
          <cell r="J2198" t="str">
            <v/>
          </cell>
        </row>
        <row r="2199">
          <cell r="C2199">
            <v>8010037054</v>
          </cell>
          <cell r="D2199" t="str">
            <v>给水用聚乙烯HDPE直管(0.6MPa)黑色 dn560 11.8M(IDN)</v>
          </cell>
          <cell r="E2199" t="str">
            <v>Pipa HDPE Polyethylene untuk Suplai Air (0.6 MPa) Warna Hitam dn560 11.8M(IDN)</v>
          </cell>
          <cell r="F2199">
            <v>1</v>
          </cell>
          <cell r="G2199">
            <v>22132560</v>
          </cell>
          <cell r="H2199">
            <v>19939244</v>
          </cell>
        </row>
        <row r="2199">
          <cell r="J2199" t="str">
            <v/>
          </cell>
        </row>
        <row r="2200">
          <cell r="C2200">
            <v>8010037055</v>
          </cell>
          <cell r="D2200" t="str">
            <v>给水用聚乙烯HDPE直管(0.6MPa)黑色 dn560 12M(IDN)</v>
          </cell>
          <cell r="E2200" t="str">
            <v>Pipa HDPE Polyethylene untuk Suplai Air (0.6 MPa) Warna Hitam dn560 12M(IDN)</v>
          </cell>
          <cell r="F2200">
            <v>1</v>
          </cell>
          <cell r="G2200">
            <v>22507699</v>
          </cell>
          <cell r="H2200">
            <v>20277207</v>
          </cell>
        </row>
        <row r="2200">
          <cell r="J2200" t="str">
            <v/>
          </cell>
        </row>
        <row r="2201">
          <cell r="C2201">
            <v>8010037056</v>
          </cell>
          <cell r="D2201" t="str">
            <v>给水用聚乙烯HDPE直管(0.8MPa)黑色 dn560 5.8M(IDN)</v>
          </cell>
          <cell r="E2201" t="str">
            <v>Pipa HDPE Polyethylene untuk Suplai Air (0.8 MPa) Warna Hitam dn560 5.8M(IDN)</v>
          </cell>
          <cell r="F2201">
            <v>1</v>
          </cell>
          <cell r="G2201">
            <v>13416494</v>
          </cell>
          <cell r="H2201">
            <v>12086932</v>
          </cell>
        </row>
        <row r="2201">
          <cell r="J2201" t="str">
            <v/>
          </cell>
        </row>
        <row r="2202">
          <cell r="C2202">
            <v>8010037057</v>
          </cell>
          <cell r="D2202" t="str">
            <v>给水用聚乙烯HDPE直管(0.8MPa)黑色 dn560 6M(IDN)</v>
          </cell>
          <cell r="E2202" t="str">
            <v>Pipa HDPE Polyethylene untuk Suplai Air (0.8 MPa) Warna Hitam dn560 6M(IDN)</v>
          </cell>
          <cell r="F2202">
            <v>1</v>
          </cell>
          <cell r="G2202">
            <v>13879153</v>
          </cell>
          <cell r="H2202">
            <v>12503742</v>
          </cell>
        </row>
        <row r="2202">
          <cell r="J2202" t="str">
            <v/>
          </cell>
        </row>
        <row r="2203">
          <cell r="C2203">
            <v>8010037058</v>
          </cell>
          <cell r="D2203" t="str">
            <v>给水用聚乙烯HDPE直管(0.8MPa)黑色 dn560 11.8M(IDN)</v>
          </cell>
          <cell r="E2203" t="str">
            <v>Pipa HDPE Polyethylene untuk Suplai Air (0.8 MPa) Warna Hitam dn560 11.8M(IDN)</v>
          </cell>
          <cell r="F2203">
            <v>1</v>
          </cell>
          <cell r="G2203">
            <v>27295648</v>
          </cell>
          <cell r="H2203">
            <v>24590674</v>
          </cell>
        </row>
        <row r="2203">
          <cell r="J2203" t="str">
            <v/>
          </cell>
        </row>
        <row r="2204">
          <cell r="C2204">
            <v>8010037059</v>
          </cell>
          <cell r="D2204" t="str">
            <v>给水用聚乙烯HDPE直管(0.8MPa)黑色 dn560 12M(IDN)</v>
          </cell>
          <cell r="E2204" t="str">
            <v>Pipa HDPE Polyethylene untuk Suplai Air (0.8 MPa) Warna Hitam dn560 12M(IDN)</v>
          </cell>
          <cell r="F2204">
            <v>1</v>
          </cell>
          <cell r="G2204">
            <v>27758307</v>
          </cell>
          <cell r="H2204">
            <v>25007484</v>
          </cell>
        </row>
        <row r="2204">
          <cell r="J2204" t="str">
            <v/>
          </cell>
        </row>
        <row r="2205">
          <cell r="C2205">
            <v>8010037064</v>
          </cell>
          <cell r="D2205" t="str">
            <v>给水用聚乙烯HDPE直管(1.25MPa)黑色 dn560 5.8M(IDN)</v>
          </cell>
          <cell r="E2205" t="str">
            <v>Pipa HDPE Polyethylene untuk Suplai Air (1.25 MPa) Warna Hitam dn560 5.8M(IDN)</v>
          </cell>
          <cell r="F2205">
            <v>1</v>
          </cell>
          <cell r="G2205">
            <v>19968020</v>
          </cell>
          <cell r="H2205">
            <v>17989208</v>
          </cell>
        </row>
        <row r="2205">
          <cell r="J2205" t="str">
            <v/>
          </cell>
        </row>
        <row r="2206">
          <cell r="C2206">
            <v>8010037065</v>
          </cell>
          <cell r="D2206" t="str">
            <v>给水用聚乙烯HDPE直管(1.25MPa)黑色 dn560 6M(IDN)</v>
          </cell>
          <cell r="E2206" t="str">
            <v>Pipa HDPE Polyethylene untuk Suplai Air (1.25 MPa) Warna Hitam dn560 6M(IDN)</v>
          </cell>
          <cell r="F2206">
            <v>1</v>
          </cell>
          <cell r="G2206">
            <v>20656551</v>
          </cell>
          <cell r="H2206">
            <v>18609506</v>
          </cell>
        </row>
        <row r="2206">
          <cell r="J2206" t="str">
            <v/>
          </cell>
        </row>
        <row r="2207">
          <cell r="C2207">
            <v>8010037066</v>
          </cell>
          <cell r="D2207" t="str">
            <v>给水用聚乙烯HDPE直管(1.25MPa)黑色 dn560 11.8M(IDN)</v>
          </cell>
          <cell r="E2207" t="str">
            <v>Pipa HDPE Polyethylene untuk Suplai Air (1.25 MPa) Warna Hitam dn560 11.8M(IDN)</v>
          </cell>
          <cell r="F2207">
            <v>1</v>
          </cell>
          <cell r="G2207">
            <v>40624571</v>
          </cell>
          <cell r="H2207">
            <v>36598713</v>
          </cell>
        </row>
        <row r="2207">
          <cell r="J2207" t="str">
            <v/>
          </cell>
        </row>
        <row r="2208">
          <cell r="C2208">
            <v>8010037067</v>
          </cell>
          <cell r="D2208" t="str">
            <v>给水用聚乙烯HDPE直管(1.25MPa)黑色 dn560 12M(IDN)</v>
          </cell>
          <cell r="E2208" t="str">
            <v>Pipa HDPE Polyethylene untuk Suplai Air (1.25 MPa) Warna Hitam dn560 12M(IDN)</v>
          </cell>
          <cell r="F2208">
            <v>1</v>
          </cell>
          <cell r="G2208">
            <v>41313102</v>
          </cell>
          <cell r="H2208">
            <v>37219011</v>
          </cell>
        </row>
        <row r="2208">
          <cell r="J2208" t="str">
            <v/>
          </cell>
        </row>
        <row r="2209">
          <cell r="C2209">
            <v>8010037072</v>
          </cell>
          <cell r="D2209" t="str">
            <v>给水用聚乙烯HDPE直管(2.0MPa)黑色 dn560 5.8M(IDN)</v>
          </cell>
          <cell r="E2209" t="str">
            <v>Pipa HDPE Polyethylene untuk Suplai Air (2.0 MPa) Warna Hitam dn560 5.8M(IDN)</v>
          </cell>
          <cell r="F2209">
            <v>1</v>
          </cell>
          <cell r="G2209">
            <v>29158325</v>
          </cell>
          <cell r="H2209">
            <v>26268762</v>
          </cell>
        </row>
        <row r="2209">
          <cell r="J2209" t="str">
            <v/>
          </cell>
        </row>
        <row r="2210">
          <cell r="C2210">
            <v>8010037073</v>
          </cell>
          <cell r="D2210" t="str">
            <v>给水用聚乙烯HDPE直管(2.0MPa)黑色 dn560 6M(IDN)</v>
          </cell>
          <cell r="E2210" t="str">
            <v>Pipa HDPE Polyethylene untuk Suplai Air (2.0 MPa) Warna Hitam dn560 6M(IDN)</v>
          </cell>
          <cell r="F2210">
            <v>1</v>
          </cell>
          <cell r="G2210">
            <v>30163785</v>
          </cell>
          <cell r="H2210">
            <v>27174582</v>
          </cell>
        </row>
        <row r="2210">
          <cell r="J2210" t="str">
            <v/>
          </cell>
        </row>
        <row r="2211">
          <cell r="C2211">
            <v>8010037074</v>
          </cell>
          <cell r="D2211" t="str">
            <v>给水用聚乙烯HDPE直管(2.0MPa)黑色 dn560 11.8M(IDN)</v>
          </cell>
          <cell r="E2211" t="str">
            <v>Pipa HDPE Polyethylene untuk Suplai Air (2.0 MPa) Warna Hitam dn560 11.8M(IDN)</v>
          </cell>
          <cell r="F2211">
            <v>1</v>
          </cell>
          <cell r="G2211">
            <v>59322110</v>
          </cell>
          <cell r="H2211">
            <v>53443343</v>
          </cell>
        </row>
        <row r="2211">
          <cell r="J2211" t="str">
            <v/>
          </cell>
        </row>
        <row r="2212">
          <cell r="C2212">
            <v>8010037075</v>
          </cell>
          <cell r="D2212" t="str">
            <v>给水用聚乙烯HDPE直管(2.0MPa)黑色 dn560 12M(IDN)</v>
          </cell>
          <cell r="E2212" t="str">
            <v>Pipa HDPE Polyethylene untuk Suplai Air (2.0 MPa) Warna Hitam dn560 12M(IDN)</v>
          </cell>
          <cell r="F2212">
            <v>1</v>
          </cell>
          <cell r="G2212">
            <v>60327570</v>
          </cell>
          <cell r="H2212">
            <v>54349163</v>
          </cell>
        </row>
        <row r="2212">
          <cell r="J2212" t="str">
            <v/>
          </cell>
        </row>
        <row r="2213">
          <cell r="C2213">
            <v>8010037076</v>
          </cell>
          <cell r="D2213" t="str">
            <v>给水用聚乙烯HDPE直管(0.6MPa)黑色 dn630 5.8M(IDN)</v>
          </cell>
          <cell r="E2213" t="str">
            <v>Pipa HDPE Polyethylene untuk Suplai Air (0.6 MPa) Warna Hitam dn630 5.8M(IDN)</v>
          </cell>
          <cell r="F2213">
            <v>1</v>
          </cell>
          <cell r="G2213">
            <v>13784152</v>
          </cell>
          <cell r="H2213">
            <v>12418155</v>
          </cell>
        </row>
        <row r="2213">
          <cell r="J2213" t="str">
            <v/>
          </cell>
        </row>
        <row r="2214">
          <cell r="C2214">
            <v>8010037077</v>
          </cell>
          <cell r="D2214" t="str">
            <v>给水用聚乙烯HDPE直管(0.6MPa)黑色 dn630 6M(IDN)</v>
          </cell>
          <cell r="E2214" t="str">
            <v>Pipa HDPE Polyethylene untuk Suplai Air (0.6 MPa) Warna Hitam dn630 6M(IDN)</v>
          </cell>
          <cell r="F2214">
            <v>1</v>
          </cell>
          <cell r="G2214">
            <v>14259467</v>
          </cell>
          <cell r="H2214">
            <v>12846367</v>
          </cell>
        </row>
        <row r="2214">
          <cell r="J2214" t="str">
            <v/>
          </cell>
        </row>
        <row r="2215">
          <cell r="C2215">
            <v>8010037078</v>
          </cell>
          <cell r="D2215" t="str">
            <v>给水用聚乙烯HDPE直管(0.6MPa)黑色 dn630 11.8M(IDN)</v>
          </cell>
          <cell r="E2215" t="str">
            <v>Pipa HDPE Polyethylene untuk Suplai Air (0.6 MPa) Warna Hitam dn630 11.8M(IDN)</v>
          </cell>
          <cell r="F2215">
            <v>1</v>
          </cell>
          <cell r="G2215">
            <v>28043619</v>
          </cell>
          <cell r="H2215">
            <v>25264522</v>
          </cell>
        </row>
        <row r="2215">
          <cell r="J2215" t="str">
            <v/>
          </cell>
        </row>
        <row r="2216">
          <cell r="C2216">
            <v>8010037079</v>
          </cell>
          <cell r="D2216" t="str">
            <v>给水用聚乙烯HDPE直管(0.6MPa)黑色 dn630 12M(IDN)</v>
          </cell>
          <cell r="E2216" t="str">
            <v>Pipa HDPE Polyethylene untuk Suplai Air (0.6 MPa) Warna Hitam dn630 12M(IDN)</v>
          </cell>
          <cell r="F2216">
            <v>1</v>
          </cell>
          <cell r="G2216">
            <v>28518935</v>
          </cell>
          <cell r="H2216">
            <v>25692735</v>
          </cell>
        </row>
        <row r="2216">
          <cell r="J2216" t="str">
            <v/>
          </cell>
        </row>
        <row r="2217">
          <cell r="C2217">
            <v>8010037080</v>
          </cell>
          <cell r="D2217" t="str">
            <v>给水用聚乙烯HDPE直管(0.8MPa)黑色 dn630 5.8M(IDN)</v>
          </cell>
          <cell r="E2217" t="str">
            <v>Pipa HDPE Polyethylene untuk Suplai Air (0.8 MPa) Warna Hitam dn630 5.8M(IDN)</v>
          </cell>
          <cell r="F2217">
            <v>1</v>
          </cell>
          <cell r="G2217">
            <v>16948157</v>
          </cell>
          <cell r="H2217">
            <v>15268610</v>
          </cell>
        </row>
        <row r="2217">
          <cell r="J2217" t="str">
            <v/>
          </cell>
        </row>
        <row r="2218">
          <cell r="C2218">
            <v>8010037081</v>
          </cell>
          <cell r="D2218" t="str">
            <v>给水用聚乙烯HDPE直管(0.8MPa)黑色 dn630 6M(IDN)</v>
          </cell>
          <cell r="E2218" t="str">
            <v>Pipa HDPE Polyethylene untuk Suplai Air (0.8 MPa) Warna Hitam dn630 6M(IDN)</v>
          </cell>
          <cell r="F2218">
            <v>1</v>
          </cell>
          <cell r="G2218">
            <v>17532565</v>
          </cell>
          <cell r="H2218">
            <v>15795104</v>
          </cell>
        </row>
        <row r="2218">
          <cell r="J2218" t="str">
            <v/>
          </cell>
        </row>
        <row r="2219">
          <cell r="C2219">
            <v>8010037082</v>
          </cell>
          <cell r="D2219" t="str">
            <v>给水用聚乙烯HDPE直管(0.8MPa)黑色 dn630 11.8M(IDN)</v>
          </cell>
          <cell r="E2219" t="str">
            <v>Pipa HDPE Polyethylene untuk Suplai Air (0.8 MPa) Warna Hitam dn630 11.8M(IDN)</v>
          </cell>
          <cell r="F2219">
            <v>1</v>
          </cell>
          <cell r="G2219">
            <v>34480722</v>
          </cell>
          <cell r="H2219">
            <v>31063714</v>
          </cell>
        </row>
        <row r="2219">
          <cell r="J2219" t="str">
            <v/>
          </cell>
        </row>
        <row r="2220">
          <cell r="C2220">
            <v>8010037083</v>
          </cell>
          <cell r="D2220" t="str">
            <v>给水用聚乙烯HDPE直管(0.8MPa)黑色 dn630 12M(IDN)</v>
          </cell>
          <cell r="E2220" t="str">
            <v>Pipa HDPE Polyethylene untuk Suplai Air (0.8 MPa) Warna Hitam dn630 12M(IDN)</v>
          </cell>
          <cell r="F2220">
            <v>1</v>
          </cell>
          <cell r="G2220">
            <v>35065131</v>
          </cell>
          <cell r="H2220">
            <v>31590209</v>
          </cell>
        </row>
        <row r="2220">
          <cell r="J2220" t="str">
            <v/>
          </cell>
        </row>
        <row r="2221">
          <cell r="C2221">
            <v>8010037088</v>
          </cell>
          <cell r="D2221" t="str">
            <v>给水用聚乙烯HDPE直管(1.25MPa)黑色 dn630 5.8M(IDN)</v>
          </cell>
          <cell r="E2221" t="str">
            <v>Pipa HDPE Polyethylene untuk Suplai Air (1.25 MPa) Warna Hitam dn630 5.8M(IDN)</v>
          </cell>
          <cell r="F2221">
            <v>1</v>
          </cell>
          <cell r="G2221">
            <v>25413294</v>
          </cell>
          <cell r="H2221">
            <v>22894860</v>
          </cell>
        </row>
        <row r="2221">
          <cell r="J2221" t="str">
            <v/>
          </cell>
        </row>
        <row r="2222">
          <cell r="C2222">
            <v>8010037089</v>
          </cell>
          <cell r="D2222" t="str">
            <v>给水用聚乙烯HDPE直管(1.25MPa)黑色 dn630 6M(IDN)</v>
          </cell>
          <cell r="E2222" t="str">
            <v>Pipa HDPE Polyethylene untuk Suplai Air (1.25 MPa) Warna Hitam dn630 6M(IDN)</v>
          </cell>
          <cell r="F2222">
            <v>1</v>
          </cell>
          <cell r="G2222">
            <v>26289625</v>
          </cell>
          <cell r="H2222">
            <v>23684347</v>
          </cell>
        </row>
        <row r="2222">
          <cell r="J2222" t="str">
            <v/>
          </cell>
        </row>
        <row r="2223">
          <cell r="C2223">
            <v>8010037090</v>
          </cell>
          <cell r="D2223" t="str">
            <v>给水用聚乙烯HDPE直管(1.25MPa)黑色 dn630 11.8M(IDN)</v>
          </cell>
          <cell r="E2223" t="str">
            <v>Pipa HDPE Polyethylene untuk Suplai Air (1.25 MPa) Warna Hitam dn630 11.8M(IDN)</v>
          </cell>
          <cell r="F2223">
            <v>1</v>
          </cell>
          <cell r="G2223">
            <v>51702919</v>
          </cell>
          <cell r="H2223">
            <v>46579207</v>
          </cell>
        </row>
        <row r="2223">
          <cell r="J2223" t="str">
            <v/>
          </cell>
        </row>
        <row r="2224">
          <cell r="C2224">
            <v>8010037091</v>
          </cell>
          <cell r="D2224" t="str">
            <v>给水用聚乙烯HDPE直管(1.25MPa)黑色 dn630 12M(IDN)</v>
          </cell>
          <cell r="E2224" t="str">
            <v>Pipa HDPE Polyethylene untuk Suplai Air (1.25 MPa) Warna Hitam dn630 12M(IDN)</v>
          </cell>
          <cell r="F2224">
            <v>1</v>
          </cell>
          <cell r="G2224">
            <v>52579250</v>
          </cell>
          <cell r="H2224">
            <v>47368694</v>
          </cell>
        </row>
        <row r="2224">
          <cell r="J2224" t="str">
            <v/>
          </cell>
        </row>
        <row r="2225">
          <cell r="C2225">
            <v>8010037096</v>
          </cell>
          <cell r="D2225" t="str">
            <v>给水用聚乙烯HDPE直管(2.0MPa)黑色 dn630 5.8M(IDN)</v>
          </cell>
          <cell r="E2225" t="str">
            <v>Pipa HDPE Polyethylene untuk Suplai Air (2.0 MPa) Warna Hitam dn630 5.8M(IDN)</v>
          </cell>
          <cell r="F2225">
            <v>1</v>
          </cell>
          <cell r="G2225">
            <v>36897422</v>
          </cell>
          <cell r="H2225">
            <v>33240921</v>
          </cell>
        </row>
        <row r="2225">
          <cell r="J2225" t="str">
            <v/>
          </cell>
        </row>
        <row r="2226">
          <cell r="C2226">
            <v>8010037097</v>
          </cell>
          <cell r="D2226" t="str">
            <v>给水用聚乙烯HDPE直管(2.0MPa)黑色 dn630 6M(IDN)</v>
          </cell>
          <cell r="E2226" t="str">
            <v>Pipa HDPE Polyethylene untuk Suplai Air (2.0 MPa) Warna Hitam dn630 6M(IDN)</v>
          </cell>
          <cell r="F2226">
            <v>1</v>
          </cell>
          <cell r="G2226">
            <v>38169747</v>
          </cell>
          <cell r="H2226">
            <v>34387160</v>
          </cell>
        </row>
        <row r="2226">
          <cell r="J2226" t="str">
            <v/>
          </cell>
        </row>
        <row r="2227">
          <cell r="C2227">
            <v>8010037098</v>
          </cell>
          <cell r="D2227" t="str">
            <v>给水用聚乙烯HDPE直管(2.0MPa)黑色 dn630 11.8M(IDN)</v>
          </cell>
          <cell r="E2227" t="str">
            <v>Pipa HDPE Polyethylene untuk Suplai Air (2.0 MPa) Warna Hitam dn630 11.8M(IDN)</v>
          </cell>
          <cell r="F2227">
            <v>1</v>
          </cell>
          <cell r="G2227">
            <v>75067170</v>
          </cell>
          <cell r="H2227">
            <v>67628082</v>
          </cell>
        </row>
        <row r="2227">
          <cell r="J2227" t="str">
            <v/>
          </cell>
        </row>
        <row r="2228">
          <cell r="C2228">
            <v>8010037099</v>
          </cell>
          <cell r="D2228" t="str">
            <v>给水用聚乙烯HDPE直管(2.0MPa)黑色 dn630 12M(IDN)</v>
          </cell>
          <cell r="E2228" t="str">
            <v>Pipa HDPE Polyethylene untuk Suplai Air (2.0 MPa) Warna Hitam dn630 12M(IDN)</v>
          </cell>
          <cell r="F2228">
            <v>1</v>
          </cell>
          <cell r="G2228">
            <v>76339495</v>
          </cell>
          <cell r="H2228">
            <v>68774320</v>
          </cell>
        </row>
        <row r="2228">
          <cell r="J2228" t="str">
            <v/>
          </cell>
        </row>
        <row r="2229">
          <cell r="C2229">
            <v>8010037120</v>
          </cell>
          <cell r="D2229" t="str">
            <v>给水用聚乙烯HDPE直管(2.0MPa)黑色 dn710 5.8M(IDN)</v>
          </cell>
          <cell r="E2229" t="str">
            <v>Pipa HDPE Polyethylene untuk Suplai Air (2.0 MPa) Warna Hitam dn710 5.8M(IDN)</v>
          </cell>
          <cell r="F2229">
            <v>1</v>
          </cell>
          <cell r="G2229">
            <v>46974000</v>
          </cell>
          <cell r="H2229">
            <v>42318919</v>
          </cell>
        </row>
        <row r="2229">
          <cell r="J2229" t="str">
            <v/>
          </cell>
        </row>
        <row r="2230">
          <cell r="C2230">
            <v>8010037121</v>
          </cell>
          <cell r="D2230" t="str">
            <v>给水用聚乙烯HDPE直管(2.0MPa)黑色 dn710 6M(IDN)</v>
          </cell>
          <cell r="E2230" t="str">
            <v>Pipa HDPE Polyethylene untuk Suplai Air (2.0 MPa) Warna Hitam dn710 6M(IDN)</v>
          </cell>
          <cell r="F2230">
            <v>1</v>
          </cell>
          <cell r="G2230">
            <v>48593793</v>
          </cell>
          <cell r="H2230">
            <v>43778192</v>
          </cell>
        </row>
        <row r="2230">
          <cell r="J2230" t="str">
            <v/>
          </cell>
        </row>
        <row r="2231">
          <cell r="C2231">
            <v>8010037122</v>
          </cell>
          <cell r="D2231" t="str">
            <v>给水用聚乙烯HDPE直管(2.0MPa)黑色 dn710 11.8M(IDN)</v>
          </cell>
          <cell r="E2231" t="str">
            <v>Pipa HDPE Polyethylene untuk Suplai Air (2.0 MPa) Warna Hitam dn710 11.8M(IDN)</v>
          </cell>
          <cell r="F2231">
            <v>1</v>
          </cell>
          <cell r="G2231">
            <v>95567793</v>
          </cell>
          <cell r="H2231">
            <v>86097111</v>
          </cell>
        </row>
        <row r="2231">
          <cell r="J2231" t="str">
            <v/>
          </cell>
        </row>
        <row r="2232">
          <cell r="C2232">
            <v>8010037123</v>
          </cell>
          <cell r="D2232" t="str">
            <v>给水用聚乙烯HDPE直管(2.0MPa)黑色 dn710 12M(IDN)</v>
          </cell>
          <cell r="E2232" t="str">
            <v>Pipa HDPE Polyethylene untuk Suplai Air (2.0 MPa) Warna Hitam dn710 12M(IDN)</v>
          </cell>
          <cell r="F2232">
            <v>1</v>
          </cell>
          <cell r="G2232">
            <v>97187586</v>
          </cell>
          <cell r="H2232">
            <v>87556384</v>
          </cell>
        </row>
        <row r="2232">
          <cell r="J2232" t="str">
            <v/>
          </cell>
        </row>
        <row r="2233">
          <cell r="C2233">
            <v>8010037124</v>
          </cell>
          <cell r="D2233" t="str">
            <v>给水用聚乙烯HDPE直管(0.6MPa)黑色 dn800 5.8M(IDN)</v>
          </cell>
          <cell r="E2233" t="str">
            <v>Pipa HDPE Polyethylene untuk Suplai Air (0.6 MPa) Warna Hitam dn800 5.8M(IDN)</v>
          </cell>
          <cell r="F2233">
            <v>1</v>
          </cell>
          <cell r="G2233">
            <v>22225512</v>
          </cell>
          <cell r="H2233">
            <v>20022984</v>
          </cell>
        </row>
        <row r="2233">
          <cell r="J2233" t="str">
            <v/>
          </cell>
        </row>
        <row r="2234">
          <cell r="C2234">
            <v>8010037125</v>
          </cell>
          <cell r="D2234" t="str">
            <v>给水用聚乙烯HDPE直管(0.6MPa)黑色 dn800 6M(IDN)</v>
          </cell>
          <cell r="E2234" t="str">
            <v>Pipa HDPE Polyethylene untuk Suplai Air (0.6 MPa) Warna Hitam dn800 6M(IDN)</v>
          </cell>
          <cell r="F2234">
            <v>1</v>
          </cell>
          <cell r="G2234">
            <v>22991931</v>
          </cell>
          <cell r="H2234">
            <v>20713452</v>
          </cell>
        </row>
        <row r="2234">
          <cell r="J2234" t="str">
            <v/>
          </cell>
        </row>
        <row r="2235">
          <cell r="C2235">
            <v>8010037126</v>
          </cell>
          <cell r="D2235" t="str">
            <v>给水用聚乙烯HDPE直管(0.6MPa)黑色 dn800 11.8M(IDN)</v>
          </cell>
          <cell r="E2235" t="str">
            <v>Pipa HDPE Polyethylene untuk Suplai Air (0.6 MPa) Warna Hitam dn800 11.8M(IDN)</v>
          </cell>
          <cell r="F2235">
            <v>1</v>
          </cell>
          <cell r="G2235">
            <v>45217443</v>
          </cell>
          <cell r="H2235">
            <v>40736436</v>
          </cell>
        </row>
        <row r="2235">
          <cell r="J2235" t="str">
            <v/>
          </cell>
        </row>
        <row r="2236">
          <cell r="C2236">
            <v>8010037127</v>
          </cell>
          <cell r="D2236" t="str">
            <v>给水用聚乙烯HDPE直管(0.6MPa)黑色 dn800 12M(IDN)</v>
          </cell>
          <cell r="E2236" t="str">
            <v>Pipa HDPE Polyethylene untuk Suplai Air (0.6 MPa) Warna Hitam dn800 12M(IDN)</v>
          </cell>
          <cell r="F2236">
            <v>1</v>
          </cell>
          <cell r="G2236">
            <v>45983862</v>
          </cell>
          <cell r="H2236">
            <v>41426903</v>
          </cell>
        </row>
        <row r="2236">
          <cell r="J2236" t="str">
            <v/>
          </cell>
        </row>
        <row r="2237">
          <cell r="C2237">
            <v>8010037128</v>
          </cell>
          <cell r="D2237" t="str">
            <v>给水用聚乙烯HDPE直管(0.8MPa)黑色 dn800 5.8M(IDN)</v>
          </cell>
          <cell r="E2237" t="str">
            <v>Pipa HDPE Polyethylene untuk Suplai Air (0.8 MPa) Warna Hitam dn800 5.8M(IDN)</v>
          </cell>
          <cell r="F2237">
            <v>1</v>
          </cell>
          <cell r="G2237">
            <v>27394749</v>
          </cell>
          <cell r="H2237">
            <v>24679955</v>
          </cell>
        </row>
        <row r="2237">
          <cell r="J2237" t="str">
            <v/>
          </cell>
        </row>
        <row r="2238">
          <cell r="C2238">
            <v>8010037129</v>
          </cell>
          <cell r="D2238" t="str">
            <v>给水用聚乙烯HDPE直管(0.8MPa)黑色 dn800 6M(IDN)</v>
          </cell>
          <cell r="E2238" t="str">
            <v>Pipa HDPE Polyethylene untuk Suplai Air (0.8 MPa) Warna Hitam dn800 6M(IDN)</v>
          </cell>
          <cell r="F2238">
            <v>1</v>
          </cell>
          <cell r="G2238">
            <v>28339385</v>
          </cell>
          <cell r="H2238">
            <v>25530978</v>
          </cell>
        </row>
        <row r="2238">
          <cell r="J2238" t="str">
            <v/>
          </cell>
        </row>
        <row r="2239">
          <cell r="C2239">
            <v>8010037130</v>
          </cell>
          <cell r="D2239" t="str">
            <v>给水用聚乙烯HDPE直管(0.8MPa)黑色 dn800 11.8M(IDN)</v>
          </cell>
          <cell r="E2239" t="str">
            <v>Pipa HDPE Polyethylene untuk Suplai Air (0.8 MPa) Warna Hitam dn800 11.8M(IDN)</v>
          </cell>
          <cell r="F2239">
            <v>1</v>
          </cell>
          <cell r="G2239">
            <v>55734134</v>
          </cell>
          <cell r="H2239">
            <v>50210932</v>
          </cell>
        </row>
        <row r="2239">
          <cell r="J2239" t="str">
            <v/>
          </cell>
        </row>
        <row r="2240">
          <cell r="C2240">
            <v>8010037131</v>
          </cell>
          <cell r="D2240" t="str">
            <v>给水用聚乙烯HDPE直管(0.8MPa)黑色 dn800 12M(IDN)</v>
          </cell>
          <cell r="E2240" t="str">
            <v>Pipa HDPE Polyethylene untuk Suplai Air (0.8 MPa) Warna Hitam dn800 12M(IDN)</v>
          </cell>
          <cell r="F2240">
            <v>1</v>
          </cell>
          <cell r="G2240">
            <v>56678770</v>
          </cell>
          <cell r="H2240">
            <v>51061955</v>
          </cell>
        </row>
        <row r="2240">
          <cell r="J2240" t="str">
            <v/>
          </cell>
        </row>
        <row r="2241">
          <cell r="C2241">
            <v>8010037136</v>
          </cell>
          <cell r="D2241" t="str">
            <v>给水用聚乙烯HDPE直管(1.25MPa)黑色 dn800 5.8M(IDN)</v>
          </cell>
          <cell r="E2241" t="str">
            <v>Pipa HDPE Polyethylene untuk Suplai Air (1.25 MPa) Warna Hitam dn800 5.8M(IDN)</v>
          </cell>
          <cell r="F2241">
            <v>1</v>
          </cell>
          <cell r="G2241">
            <v>41019591</v>
          </cell>
          <cell r="H2241">
            <v>36954587</v>
          </cell>
        </row>
        <row r="2241">
          <cell r="J2241" t="str">
            <v/>
          </cell>
        </row>
        <row r="2242">
          <cell r="C2242">
            <v>8010037137</v>
          </cell>
          <cell r="D2242" t="str">
            <v>给水用聚乙烯HDPE直管(1.25MPa)黑色 dn800 6M(IDN)</v>
          </cell>
          <cell r="E2242" t="str">
            <v>Pipa HDPE Polyethylene untuk Suplai Air (1.25 MPa) Warna Hitam dn800 6M(IDN)</v>
          </cell>
          <cell r="F2242">
            <v>1</v>
          </cell>
          <cell r="G2242">
            <v>42434060</v>
          </cell>
          <cell r="H2242">
            <v>38228883</v>
          </cell>
        </row>
        <row r="2242">
          <cell r="J2242" t="str">
            <v/>
          </cell>
        </row>
        <row r="2243">
          <cell r="C2243">
            <v>8010037138</v>
          </cell>
          <cell r="D2243" t="str">
            <v>给水用聚乙烯HDPE直管(1.25MPa)黑色 dn800 11.8M(IDN)</v>
          </cell>
          <cell r="E2243" t="str">
            <v>Pipa HDPE Polyethylene untuk Suplai Air (1.25 MPa) Warna Hitam dn800 11.8M(IDN)</v>
          </cell>
          <cell r="F2243">
            <v>1</v>
          </cell>
          <cell r="G2243">
            <v>83453651</v>
          </cell>
          <cell r="H2243">
            <v>75183470</v>
          </cell>
        </row>
        <row r="2243">
          <cell r="J2243" t="str">
            <v/>
          </cell>
        </row>
        <row r="2244">
          <cell r="C2244">
            <v>8010037139</v>
          </cell>
          <cell r="D2244" t="str">
            <v>给水用聚乙烯HDPE直管(1.25MPa)黑色 dn800 12M(IDN)</v>
          </cell>
          <cell r="E2244" t="str">
            <v>Pipa HDPE Polyethylene untuk Suplai Air (1.25 MPa) Warna Hitam dn800 12M(IDN)</v>
          </cell>
          <cell r="F2244">
            <v>1</v>
          </cell>
          <cell r="G2244">
            <v>84868120</v>
          </cell>
          <cell r="H2244">
            <v>76457766</v>
          </cell>
        </row>
        <row r="2244">
          <cell r="J2244" t="str">
            <v/>
          </cell>
        </row>
        <row r="2245">
          <cell r="C2245">
            <v>8010037144</v>
          </cell>
          <cell r="D2245" t="str">
            <v>给水用聚乙烯HDPE直管(2.0MPa)黑色 dn800 5.8M(IDN)</v>
          </cell>
          <cell r="E2245" t="str">
            <v>Pipa HDPE Polyethylene untuk Suplai Air (2.0 MPa) Warna Hitam dn800 5.8M(IDN)</v>
          </cell>
          <cell r="F2245">
            <v>1</v>
          </cell>
          <cell r="G2245">
            <v>59601171</v>
          </cell>
          <cell r="H2245">
            <v>53694749</v>
          </cell>
        </row>
        <row r="2245">
          <cell r="J2245" t="str">
            <v/>
          </cell>
        </row>
        <row r="2246">
          <cell r="C2246">
            <v>8010037145</v>
          </cell>
          <cell r="D2246" t="str">
            <v>给水用聚乙烯HDPE直管(2.0MPa)黑色 dn800 6M(IDN)</v>
          </cell>
          <cell r="E2246" t="str">
            <v>Pipa HDPE Polyethylene untuk Suplai Air (2.0 MPa) Warna Hitam dn800 6M(IDN)</v>
          </cell>
          <cell r="F2246">
            <v>1</v>
          </cell>
          <cell r="G2246">
            <v>61656363</v>
          </cell>
          <cell r="H2246">
            <v>55546273</v>
          </cell>
        </row>
        <row r="2246">
          <cell r="J2246" t="str">
            <v/>
          </cell>
        </row>
        <row r="2247">
          <cell r="C2247">
            <v>8010037146</v>
          </cell>
          <cell r="D2247" t="str">
            <v>给水用聚乙烯HDPE直管(2.0MPa)黑色 dn800 11.8M(IDN)</v>
          </cell>
          <cell r="E2247" t="str">
            <v>Pipa HDPE Polyethylene untuk Suplai Air (2.0 MPa) Warna Hitam dn800 11.8M(IDN)</v>
          </cell>
          <cell r="F2247">
            <v>1</v>
          </cell>
          <cell r="G2247">
            <v>121257535</v>
          </cell>
          <cell r="H2247">
            <v>109241023</v>
          </cell>
        </row>
        <row r="2247">
          <cell r="J2247" t="str">
            <v/>
          </cell>
        </row>
        <row r="2248">
          <cell r="C2248">
            <v>8010037147</v>
          </cell>
          <cell r="D2248" t="str">
            <v>给水用聚乙烯HDPE直管(2.0MPa)黑色 dn800 12M(IDN)</v>
          </cell>
          <cell r="E2248" t="str">
            <v>Pipa HDPE Polyethylene untuk Suplai Air (2.0 MPa) Warna Hitam dn800 12M(IDN)</v>
          </cell>
          <cell r="F2248">
            <v>1</v>
          </cell>
          <cell r="G2248">
            <v>123312726</v>
          </cell>
          <cell r="H2248">
            <v>111092546</v>
          </cell>
        </row>
        <row r="2248">
          <cell r="J2248" t="str">
            <v/>
          </cell>
        </row>
        <row r="2249">
          <cell r="C2249">
            <v>8010037163</v>
          </cell>
          <cell r="D2249" t="str">
            <v>给水用聚乙烯HDPE直管(0.6MPa)黑色 dn710 5.8M(IDN)</v>
          </cell>
          <cell r="E2249" t="str">
            <v>Pipa HDPE Polyethylene untuk Suplai Air (0.6 MPa) Warna Hitam dn710 5.8M(IDN)</v>
          </cell>
          <cell r="F2249">
            <v>1</v>
          </cell>
          <cell r="G2249">
            <v>17548809</v>
          </cell>
          <cell r="H2249">
            <v>15809738</v>
          </cell>
        </row>
        <row r="2249">
          <cell r="J2249" t="str">
            <v/>
          </cell>
        </row>
        <row r="2250">
          <cell r="C2250">
            <v>8010037164</v>
          </cell>
          <cell r="D2250" t="str">
            <v>给水用聚乙烯HDPE直管(0.6MPa)黑色 dn710 6M(IDN)</v>
          </cell>
          <cell r="E2250" t="str">
            <v>Pipa HDPE Polyethylene untuk Suplai Air (0.6 MPa) Warna Hitam dn710 6M(IDN)</v>
          </cell>
          <cell r="F2250">
            <v>1</v>
          </cell>
          <cell r="G2250">
            <v>18153919</v>
          </cell>
          <cell r="H2250">
            <v>16354882</v>
          </cell>
        </row>
        <row r="2250">
          <cell r="J2250" t="str">
            <v/>
          </cell>
        </row>
        <row r="2251">
          <cell r="C2251">
            <v>8010037165</v>
          </cell>
          <cell r="D2251" t="str">
            <v>给水用聚乙烯HDPE直管(0.6MPa)黑色 dn710 11.8M(IDN)</v>
          </cell>
          <cell r="E2251" t="str">
            <v>Pipa HDPE Polyethylene untuk Suplai Air (0.6 MPa) Warna Hitam dn710 11.8M(IDN)</v>
          </cell>
          <cell r="F2251">
            <v>1</v>
          </cell>
          <cell r="G2251">
            <v>35702728</v>
          </cell>
          <cell r="H2251">
            <v>32164620</v>
          </cell>
        </row>
        <row r="2251">
          <cell r="J2251" t="str">
            <v/>
          </cell>
        </row>
        <row r="2252">
          <cell r="C2252">
            <v>8010037166</v>
          </cell>
          <cell r="D2252" t="str">
            <v>给水用聚乙烯HDPE直管(0.6MPa)黑色 dn710 12M(IDN)</v>
          </cell>
          <cell r="E2252" t="str">
            <v>Pipa HDPE Polyethylene untuk Suplai Air (0.6 MPa) Warna Hitam dn710 12M(IDN)</v>
          </cell>
          <cell r="F2252">
            <v>1</v>
          </cell>
          <cell r="G2252">
            <v>36307838</v>
          </cell>
          <cell r="H2252">
            <v>32709764</v>
          </cell>
        </row>
        <row r="2252">
          <cell r="J2252" t="str">
            <v/>
          </cell>
        </row>
        <row r="2253">
          <cell r="C2253">
            <v>8010037167</v>
          </cell>
          <cell r="D2253" t="str">
            <v>给水用聚乙烯HDPE直管(0.8MPa)黑色 dn710 5.8M(IDN)</v>
          </cell>
          <cell r="E2253" t="str">
            <v>Pipa HDPE Polyethylene untuk Suplai Air (0.8 MPa) Warna Hitam dn710 5.8M(IDN)</v>
          </cell>
          <cell r="F2253">
            <v>1</v>
          </cell>
          <cell r="G2253">
            <v>21613024</v>
          </cell>
          <cell r="H2253">
            <v>19471193</v>
          </cell>
        </row>
        <row r="2253">
          <cell r="J2253" t="str">
            <v/>
          </cell>
        </row>
        <row r="2254">
          <cell r="C2254">
            <v>8010037168</v>
          </cell>
          <cell r="D2254" t="str">
            <v>给水用聚乙烯HDPE直管(0.8MPa)黑色 dn710 6M(IDN)</v>
          </cell>
          <cell r="E2254" t="str">
            <v>Pipa HDPE Polyethylene untuk Suplai Air (0.8 MPa) Warna Hitam dn710 6M(IDN)</v>
          </cell>
          <cell r="F2254">
            <v>1</v>
          </cell>
          <cell r="G2254">
            <v>22358279</v>
          </cell>
          <cell r="H2254">
            <v>20142594</v>
          </cell>
        </row>
        <row r="2254">
          <cell r="J2254" t="str">
            <v/>
          </cell>
        </row>
        <row r="2255">
          <cell r="C2255">
            <v>8010037169</v>
          </cell>
          <cell r="D2255" t="str">
            <v>给水用聚乙烯HDPE直管(0.8MPa)黑色 dn710 11.8M(IDN)</v>
          </cell>
          <cell r="E2255" t="str">
            <v>Pipa HDPE Polyethylene untuk Suplai Air (0.8 MPa) Warna Hitam dn710 11.8M(IDN)</v>
          </cell>
          <cell r="F2255">
            <v>1</v>
          </cell>
          <cell r="G2255">
            <v>43971303</v>
          </cell>
          <cell r="H2255">
            <v>39613787</v>
          </cell>
        </row>
        <row r="2255">
          <cell r="J2255" t="str">
            <v/>
          </cell>
        </row>
        <row r="2256">
          <cell r="C2256">
            <v>8010037170</v>
          </cell>
          <cell r="D2256" t="str">
            <v>给水用聚乙烯HDPE直管(0.8MPa)黑色 dn710 12M(IDN)</v>
          </cell>
          <cell r="E2256" t="str">
            <v>Pipa HDPE Polyethylene untuk Suplai Air (0.8 MPa) Warna Hitam dn710 12M(IDN)</v>
          </cell>
          <cell r="F2256">
            <v>1</v>
          </cell>
          <cell r="G2256">
            <v>44716558</v>
          </cell>
          <cell r="H2256">
            <v>40285188</v>
          </cell>
        </row>
        <row r="2256">
          <cell r="J2256" t="str">
            <v/>
          </cell>
        </row>
        <row r="2257">
          <cell r="C2257">
            <v>8010037175</v>
          </cell>
          <cell r="D2257" t="str">
            <v>给水用聚乙烯HDPE直管(1.25MPa)黑色 dn710 5.8M(IDN)</v>
          </cell>
          <cell r="E2257" t="str">
            <v>Pipa HDPE Polyethylene untuk Suplai Air (1.25 MPa) Warna Hitam dn710 5.8M(IDN)</v>
          </cell>
          <cell r="F2257">
            <v>1</v>
          </cell>
          <cell r="G2257">
            <v>32122899</v>
          </cell>
          <cell r="H2257">
            <v>28939549</v>
          </cell>
        </row>
        <row r="2257">
          <cell r="J2257" t="str">
            <v/>
          </cell>
        </row>
        <row r="2258">
          <cell r="C2258">
            <v>8010037176</v>
          </cell>
          <cell r="D2258" t="str">
            <v>给水用聚乙烯HDPE直管(1.25MPa)黑色 dn710 6M(IDN)</v>
          </cell>
          <cell r="E2258" t="str">
            <v>Pipa HDPE Polyethylene untuk Suplai Air (1.25 MPa) Warna Hitam dn710 6M(IDN)</v>
          </cell>
          <cell r="F2258">
            <v>1</v>
          </cell>
          <cell r="G2258">
            <v>33230585</v>
          </cell>
          <cell r="H2258">
            <v>29937464</v>
          </cell>
        </row>
        <row r="2258">
          <cell r="J2258" t="str">
            <v/>
          </cell>
        </row>
        <row r="2259">
          <cell r="C2259">
            <v>8010037177</v>
          </cell>
          <cell r="D2259" t="str">
            <v>给水用聚乙烯HDPE直管(1.25MPa)黑色 dn710 11.8M(IDN)</v>
          </cell>
          <cell r="E2259" t="str">
            <v>Pipa HDPE Polyethylene untuk Suplai Air (1.25 MPa) Warna Hitam dn710 11.8M(IDN)</v>
          </cell>
          <cell r="F2259">
            <v>1</v>
          </cell>
          <cell r="G2259">
            <v>65353484</v>
          </cell>
          <cell r="H2259">
            <v>58877013</v>
          </cell>
        </row>
        <row r="2259">
          <cell r="J2259" t="str">
            <v/>
          </cell>
        </row>
        <row r="2260">
          <cell r="C2260">
            <v>8010037178</v>
          </cell>
          <cell r="D2260" t="str">
            <v>给水用聚乙烯HDPE直管(1.25MPa)黑色 dn710 12M(IDN)</v>
          </cell>
          <cell r="E2260" t="str">
            <v>Pipa HDPE Polyethylene untuk Suplai Air (1.25 MPa) Warna Hitam dn710 12M(IDN)</v>
          </cell>
          <cell r="F2260">
            <v>1</v>
          </cell>
          <cell r="G2260">
            <v>66461170</v>
          </cell>
          <cell r="H2260">
            <v>59874928</v>
          </cell>
        </row>
        <row r="2260">
          <cell r="J2260" t="str">
            <v/>
          </cell>
        </row>
        <row r="2261">
          <cell r="C2261">
            <v>8010037100</v>
          </cell>
          <cell r="D2261" t="str">
            <v>给水用聚乙烯HDPE直管(0.6MPa)黑色 dn1000 12M(IDN)</v>
          </cell>
          <cell r="E2261" t="str">
            <v>Pipa HDPE Polyethylene untuk Suplai Air (0.6 MPa) Warna Hitam dn1000 12M(IDN)</v>
          </cell>
          <cell r="F2261">
            <v>1</v>
          </cell>
          <cell r="G2261">
            <v>71764044</v>
          </cell>
          <cell r="H2261">
            <v>64652292</v>
          </cell>
        </row>
        <row r="2261">
          <cell r="J2261" t="str">
            <v/>
          </cell>
        </row>
        <row r="2262">
          <cell r="C2262">
            <v>8010037101</v>
          </cell>
          <cell r="D2262" t="str">
            <v>给水用聚乙烯HDPE直管(0.8MPa)黑色 dn1000 5.8M(IDN)</v>
          </cell>
          <cell r="E2262" t="str">
            <v>Pipa HDPE Polyethylene untuk Suplai Air (0.8 MPa) Warna Hitam dn1000 5.8M(IDN)</v>
          </cell>
          <cell r="F2262">
            <v>1</v>
          </cell>
          <cell r="G2262">
            <v>42824776</v>
          </cell>
          <cell r="H2262">
            <v>38580880</v>
          </cell>
        </row>
        <row r="2262">
          <cell r="J2262" t="str">
            <v/>
          </cell>
        </row>
        <row r="2263">
          <cell r="C2263">
            <v>8010037102</v>
          </cell>
          <cell r="D2263" t="str">
            <v>给水用聚乙烯HDPE直管(0.8MPa)黑色 dn1000 6M(IDN)</v>
          </cell>
          <cell r="E2263" t="str">
            <v>Pipa HDPE Polyethylene untuk Suplai Air (0.8 MPa) Warna Hitam dn1000 5.8M(IDN)</v>
          </cell>
          <cell r="F2263">
            <v>1</v>
          </cell>
          <cell r="G2263">
            <v>44301503</v>
          </cell>
          <cell r="H2263">
            <v>39911264</v>
          </cell>
        </row>
        <row r="2263">
          <cell r="J2263" t="str">
            <v/>
          </cell>
        </row>
        <row r="2264">
          <cell r="C2264">
            <v>8010037103</v>
          </cell>
          <cell r="D2264" t="str">
            <v>给水用聚乙烯HDPE直管(0.8MPa)黑色 dn1000 11.8M(IDN)</v>
          </cell>
          <cell r="E2264" t="str">
            <v>Pipa HDPE Polyethylene untuk Suplai Air (0.8 MPa) Warna Hitam dn1000 11.8M(IDN)</v>
          </cell>
          <cell r="F2264">
            <v>1</v>
          </cell>
          <cell r="G2264">
            <v>87126279</v>
          </cell>
          <cell r="H2264">
            <v>78492144</v>
          </cell>
        </row>
        <row r="2264">
          <cell r="J2264" t="str">
            <v/>
          </cell>
        </row>
        <row r="2265">
          <cell r="C2265">
            <v>8010037104</v>
          </cell>
          <cell r="D2265" t="str">
            <v>给水用聚乙烯HDPE直管(0.8MPa)黑色 dn1000 12M(IDN)</v>
          </cell>
          <cell r="E2265" t="str">
            <v>Pipa HDPE Polyethylene untuk Suplai Air (0.8 MPa) Warna Hitam dn1000 12M(IDN)</v>
          </cell>
          <cell r="F2265">
            <v>1</v>
          </cell>
          <cell r="G2265">
            <v>88603006</v>
          </cell>
          <cell r="H2265">
            <v>79822528</v>
          </cell>
        </row>
        <row r="2265">
          <cell r="J2265" t="str">
            <v/>
          </cell>
        </row>
        <row r="2266">
          <cell r="C2266">
            <v>8010037109</v>
          </cell>
          <cell r="D2266" t="str">
            <v>给水用聚乙烯HDPE直管(0.6MPa)黑色 dn1200 5.8M(IDN)</v>
          </cell>
          <cell r="E2266" t="str">
            <v>Pipa HDPE Polyethylene untuk Suplai Air (0.6 MPa) Warna Hitam dn1200 5.8M(IDN)</v>
          </cell>
          <cell r="F2266">
            <v>1</v>
          </cell>
          <cell r="G2266">
            <v>49957891</v>
          </cell>
          <cell r="H2266">
            <v>45007110</v>
          </cell>
        </row>
        <row r="2266">
          <cell r="J2266" t="str">
            <v/>
          </cell>
        </row>
        <row r="2267">
          <cell r="C2267">
            <v>8010037110</v>
          </cell>
          <cell r="D2267" t="str">
            <v>给水用聚乙烯HDPE直管(0.6MPa)黑色 dn1200 6M(IDN)</v>
          </cell>
          <cell r="E2267" t="str">
            <v>Pipa HDPE Polyethylene untuk Suplai Air (0.6 MPa) Warna Hitam dn1200 6M(IDN)</v>
          </cell>
          <cell r="F2267">
            <v>1</v>
          </cell>
          <cell r="G2267">
            <v>51680577</v>
          </cell>
          <cell r="H2267">
            <v>46559079</v>
          </cell>
        </row>
        <row r="2267">
          <cell r="J2267" t="str">
            <v/>
          </cell>
        </row>
        <row r="2268">
          <cell r="C2268">
            <v>8010037111</v>
          </cell>
          <cell r="D2268" t="str">
            <v>给水用聚乙烯HDPE直管(0.6MPa)黑色 dn1200 11.8M(IDN)</v>
          </cell>
          <cell r="E2268" t="str">
            <v>Pipa HDPE Polyethylene untuk Suplai Air (0.6 MPa) Warna Hitam dn1200 11.8M(IDN)</v>
          </cell>
          <cell r="F2268">
            <v>1</v>
          </cell>
          <cell r="G2268">
            <v>101638469</v>
          </cell>
          <cell r="H2268">
            <v>91566189</v>
          </cell>
        </row>
        <row r="2268">
          <cell r="J2268" t="str">
            <v/>
          </cell>
        </row>
        <row r="2269">
          <cell r="C2269">
            <v>8010037112</v>
          </cell>
          <cell r="D2269" t="str">
            <v>给水用聚乙烯HDPE直管(0.6MPa)黑色 dn1200 12M(IDN)</v>
          </cell>
          <cell r="E2269" t="str">
            <v>Pipa HDPE Polyethylene untuk Suplai Air (0.6 MPa) Warna Hitam dn1200 12M(IDN)</v>
          </cell>
          <cell r="F2269">
            <v>1</v>
          </cell>
          <cell r="G2269">
            <v>103361155</v>
          </cell>
          <cell r="H2269">
            <v>93118158</v>
          </cell>
        </row>
        <row r="2269">
          <cell r="J2269" t="str">
            <v/>
          </cell>
        </row>
        <row r="2270">
          <cell r="C2270">
            <v>8010037113</v>
          </cell>
          <cell r="D2270" t="str">
            <v>给水用聚乙烯HDPE直管(0.8MPa)黑色 dn1200 5.8M(IDN)</v>
          </cell>
          <cell r="E2270" t="str">
            <v>Pipa HDPE Polyethylene untuk Suplai Air (0.8 MPa) Warna Hitam dn1200 5.8M(IDN)</v>
          </cell>
          <cell r="F2270">
            <v>1</v>
          </cell>
          <cell r="G2270">
            <v>61638480</v>
          </cell>
          <cell r="H2270">
            <v>55530163</v>
          </cell>
        </row>
        <row r="2270">
          <cell r="J2270" t="str">
            <v/>
          </cell>
        </row>
        <row r="2271">
          <cell r="C2271">
            <v>8010037114</v>
          </cell>
          <cell r="D2271" t="str">
            <v>给水用聚乙烯HDPE直管(0.8MPa)黑色 dn1200 6M(IDN)</v>
          </cell>
          <cell r="E2271" t="str">
            <v>Pipa HDPE Polyethylene untuk Suplai Air (0.8 MPa) Warna Hitam dn1200 6M(IDN)</v>
          </cell>
          <cell r="F2271">
            <v>1</v>
          </cell>
          <cell r="G2271">
            <v>63763923</v>
          </cell>
          <cell r="H2271">
            <v>57444976</v>
          </cell>
        </row>
        <row r="2271">
          <cell r="J2271" t="str">
            <v/>
          </cell>
        </row>
        <row r="2272">
          <cell r="C2272">
            <v>8010037115</v>
          </cell>
          <cell r="D2272" t="str">
            <v>给水用聚乙烯HDPE直管(0.8MPa)黑色 dn1200 11.8M(IDN)</v>
          </cell>
          <cell r="E2272" t="str">
            <v>Pipa HDPE Polyethylene untuk Suplai Air (0.8 MPa) Warna Hitam dn1200 11.8M(IDN)</v>
          </cell>
          <cell r="F2272">
            <v>1</v>
          </cell>
          <cell r="G2272">
            <v>125402403</v>
          </cell>
          <cell r="H2272">
            <v>112975138</v>
          </cell>
        </row>
        <row r="2272">
          <cell r="J2272" t="str">
            <v/>
          </cell>
        </row>
        <row r="2273">
          <cell r="C2273">
            <v>8010037116</v>
          </cell>
          <cell r="D2273" t="str">
            <v>给水用聚乙烯HDPE直管(0.8MPa)黑色 dn1200 12M(IDN)</v>
          </cell>
          <cell r="E2273" t="str">
            <v>Pipa HDPE Polyethylene untuk Suplai Air (0.8 MPa) Warna Hitam dn1200 12M(IDN)</v>
          </cell>
          <cell r="F2273">
            <v>1</v>
          </cell>
          <cell r="G2273">
            <v>127527847</v>
          </cell>
          <cell r="H2273">
            <v>114889953</v>
          </cell>
        </row>
        <row r="2273">
          <cell r="J2273" t="str">
            <v/>
          </cell>
        </row>
        <row r="2274">
          <cell r="C2274">
            <v>8010037148</v>
          </cell>
          <cell r="D2274" t="str">
            <v>给水用聚乙烯HDPE直管(0.6MPa)黑色 dn900 5.8M(IDN)</v>
          </cell>
          <cell r="E2274" t="str">
            <v>Pipa HDPE Polyethylene untuk Suplai Air (0.6 MPa) Warna Hitam dn900 5.8M(IDN)</v>
          </cell>
          <cell r="F2274">
            <v>1</v>
          </cell>
          <cell r="G2274">
            <v>28110387</v>
          </cell>
          <cell r="H2274">
            <v>25324673</v>
          </cell>
        </row>
        <row r="2274">
          <cell r="J2274" t="str">
            <v/>
          </cell>
        </row>
        <row r="2275">
          <cell r="C2275">
            <v>8010037149</v>
          </cell>
          <cell r="D2275" t="str">
            <v>给水用聚乙烯HDPE直管(0.6MPa)黑色 dn900 6M(IDN)</v>
          </cell>
          <cell r="E2275" t="str">
            <v>Pipa HDPE Polyethylene untuk Suplai Air (0.6 MPa) Warna Hitam dn900 6M(IDN)</v>
          </cell>
          <cell r="F2275">
            <v>1</v>
          </cell>
          <cell r="G2275">
            <v>29079721</v>
          </cell>
          <cell r="H2275">
            <v>26197947</v>
          </cell>
        </row>
        <row r="2275">
          <cell r="J2275" t="str">
            <v/>
          </cell>
        </row>
        <row r="2276">
          <cell r="C2276">
            <v>8010037150</v>
          </cell>
          <cell r="D2276" t="str">
            <v>给水用聚乙烯HDPE直管(0.6MPa)黑色 dn900 11.8M(IDN)</v>
          </cell>
          <cell r="E2276" t="str">
            <v>Pipa HDPE Polyethylene untuk Suplai Air (0.6 MPa) Warna Hitam dn900 11.8M(IDN)</v>
          </cell>
          <cell r="F2276">
            <v>1</v>
          </cell>
          <cell r="G2276">
            <v>57190108</v>
          </cell>
          <cell r="H2276">
            <v>51522620</v>
          </cell>
        </row>
        <row r="2276">
          <cell r="J2276" t="str">
            <v/>
          </cell>
        </row>
        <row r="2277">
          <cell r="C2277">
            <v>8010037151</v>
          </cell>
          <cell r="D2277" t="str">
            <v>给水用聚乙烯HDPE直管(0.6MPa)黑色 dn900 12M(IDN)</v>
          </cell>
          <cell r="E2277" t="str">
            <v>Pipa HDPE Polyethylene untuk Suplai Air (0.6 MPa) Warna Hitam dn900 12M(IDN)</v>
          </cell>
          <cell r="F2277">
            <v>1</v>
          </cell>
          <cell r="G2277">
            <v>58159442</v>
          </cell>
          <cell r="H2277">
            <v>52395894</v>
          </cell>
        </row>
        <row r="2277">
          <cell r="J2277" t="str">
            <v/>
          </cell>
        </row>
        <row r="2278">
          <cell r="C2278">
            <v>8010037152</v>
          </cell>
          <cell r="D2278" t="str">
            <v>给水用聚乙烯HDPE直管(0.8MPa)黑色 dn900 5.8M(IDN)</v>
          </cell>
          <cell r="E2278" t="str">
            <v>Pipa HDPE Polyethylene untuk Suplai Air (0.8 MPa) Warna Hitam dn900 5.8M(IDN)</v>
          </cell>
          <cell r="F2278">
            <v>1</v>
          </cell>
          <cell r="G2278">
            <v>34662476</v>
          </cell>
          <cell r="H2278">
            <v>31227456</v>
          </cell>
        </row>
        <row r="2278">
          <cell r="J2278" t="str">
            <v/>
          </cell>
        </row>
        <row r="2279">
          <cell r="C2279">
            <v>8010037153</v>
          </cell>
          <cell r="D2279" t="str">
            <v>给水用聚乙烯HDPE直管(0.8MPa)黑色 dn900 6M(IDN)</v>
          </cell>
          <cell r="E2279" t="str">
            <v>Pipa HDPE Polyethylene untuk Suplai Air (0.8 MPa) Warna Hitam dn900 6M(IDN)</v>
          </cell>
          <cell r="F2279">
            <v>1</v>
          </cell>
          <cell r="G2279">
            <v>35857733</v>
          </cell>
          <cell r="H2279">
            <v>32304264</v>
          </cell>
        </row>
        <row r="2279">
          <cell r="J2279" t="str">
            <v/>
          </cell>
        </row>
        <row r="2280">
          <cell r="C2280">
            <v>8010037154</v>
          </cell>
          <cell r="D2280" t="str">
            <v>给水用聚乙烯HDPE直管(0.8MPa)黑色 dn900 11.8M(IDN)</v>
          </cell>
          <cell r="E2280" t="str">
            <v>Pipa HDPE Polyethylene untuk Suplai Air (0.8 MPa) Warna Hitam dn900 11.8M(IDN)</v>
          </cell>
          <cell r="F2280">
            <v>1</v>
          </cell>
          <cell r="G2280">
            <v>70520209</v>
          </cell>
          <cell r="H2280">
            <v>63531720</v>
          </cell>
        </row>
        <row r="2280">
          <cell r="J2280" t="str">
            <v/>
          </cell>
        </row>
        <row r="2281">
          <cell r="C2281">
            <v>8010037155</v>
          </cell>
          <cell r="D2281" t="str">
            <v>给水用聚乙烯HDPE直管(0.8MPa)黑色 dn900 12M(IDN)</v>
          </cell>
          <cell r="E2281" t="str">
            <v>Pipa HDPE Polyethylene untuk Suplai Air (0.8 MPa) Warna Hitam dn900 12M(IDN)</v>
          </cell>
          <cell r="F2281">
            <v>1</v>
          </cell>
          <cell r="G2281">
            <v>71715467</v>
          </cell>
          <cell r="H2281">
            <v>64608529</v>
          </cell>
        </row>
        <row r="2281">
          <cell r="J2281" t="str">
            <v/>
          </cell>
        </row>
        <row r="2282">
          <cell r="C2282">
            <v>8010037160</v>
          </cell>
          <cell r="D2282" t="str">
            <v>给水用聚乙烯HDPE直管(0.6MPa)黑色 dn1000 5.8M(IDN)</v>
          </cell>
          <cell r="E2282" t="str">
            <v>Pipa HDPE Polyethylene untuk Suplai Air (0.6 MPa) Warna Hitam dn1000 5.8M(IDN)</v>
          </cell>
          <cell r="F2282">
            <v>1</v>
          </cell>
          <cell r="G2282">
            <v>34685944</v>
          </cell>
          <cell r="H2282">
            <v>31248599</v>
          </cell>
        </row>
        <row r="2282">
          <cell r="J2282" t="str">
            <v/>
          </cell>
        </row>
        <row r="2283">
          <cell r="C2283">
            <v>8010037161</v>
          </cell>
          <cell r="D2283" t="str">
            <v>给水用聚乙烯HDPE直管(0.6MPa)黑色 dn1000 6M(IDN)</v>
          </cell>
          <cell r="E2283" t="str">
            <v>Pipa HDPE Polyethylene untuk Suplai Air (0.6 MPa) Warna Hitam dn1000 6M(IDN)</v>
          </cell>
          <cell r="F2283">
            <v>1</v>
          </cell>
          <cell r="G2283">
            <v>35882022</v>
          </cell>
          <cell r="H2283">
            <v>32326146</v>
          </cell>
        </row>
        <row r="2283">
          <cell r="J2283" t="str">
            <v/>
          </cell>
        </row>
        <row r="2284">
          <cell r="C2284">
            <v>8010037162</v>
          </cell>
          <cell r="D2284" t="str">
            <v>给水用聚乙烯HDPE直管(0.6MPa)黑色 dn1000 11.8M(IDN)</v>
          </cell>
          <cell r="E2284" t="str">
            <v>Pipa HDPE Polyethylene untuk Suplai Air (0.6 MPa) Warna Hitam dn1000 11.8M(IDN)</v>
          </cell>
          <cell r="F2284">
            <v>1</v>
          </cell>
          <cell r="G2284">
            <v>70567966</v>
          </cell>
          <cell r="H2284">
            <v>63574745</v>
          </cell>
        </row>
        <row r="2284">
          <cell r="J2284" t="str">
            <v/>
          </cell>
        </row>
        <row r="2285">
          <cell r="D2285" t="str">
            <v>FLEXIBLE WATER PROOF GELOMBANG (TYPE E) 1/2"</v>
          </cell>
        </row>
        <row r="2285">
          <cell r="F2285">
            <v>0</v>
          </cell>
        </row>
        <row r="2285">
          <cell r="H2285">
            <v>14685</v>
          </cell>
        </row>
        <row r="2285">
          <cell r="J2285" t="str">
            <v/>
          </cell>
        </row>
        <row r="2286">
          <cell r="D2286" t="str">
            <v>FLEXIBLE WATER PROOF GELOMBANG (TYPE E) 3/4"</v>
          </cell>
        </row>
        <row r="2286">
          <cell r="F2286">
            <v>0</v>
          </cell>
        </row>
        <row r="2286">
          <cell r="H2286">
            <v>19085</v>
          </cell>
        </row>
        <row r="2286">
          <cell r="J2286" t="str">
            <v/>
          </cell>
        </row>
        <row r="2287">
          <cell r="D2287" t="str">
            <v>FLEXIBLE WATER PROOF GELOMBANG (TYPE E) 1"</v>
          </cell>
        </row>
        <row r="2287">
          <cell r="F2287">
            <v>0</v>
          </cell>
        </row>
        <row r="2287">
          <cell r="H2287">
            <v>27885</v>
          </cell>
        </row>
        <row r="2287">
          <cell r="J2287" t="str">
            <v/>
          </cell>
        </row>
        <row r="2288">
          <cell r="D2288" t="str">
            <v>FLEXIBLE WATER PROOF GELOMBANG (TYPE E) 1 1/4"</v>
          </cell>
        </row>
        <row r="2288">
          <cell r="F2288">
            <v>0</v>
          </cell>
        </row>
        <row r="2288">
          <cell r="H2288">
            <v>40535</v>
          </cell>
        </row>
        <row r="2288">
          <cell r="J2288" t="str">
            <v/>
          </cell>
        </row>
        <row r="2289">
          <cell r="D2289" t="str">
            <v>FLEXIBLE WATER PROOF GELOMBANG (TYPE E) 1 1/2"</v>
          </cell>
        </row>
        <row r="2289">
          <cell r="F2289">
            <v>0</v>
          </cell>
        </row>
        <row r="2289">
          <cell r="H2289">
            <v>53075</v>
          </cell>
        </row>
        <row r="2289">
          <cell r="J2289" t="str">
            <v/>
          </cell>
        </row>
        <row r="2290">
          <cell r="D2290" t="str">
            <v>FLEXIBLE WATER PROOF GELOMBANG (TYPE E) 2"</v>
          </cell>
        </row>
        <row r="2290">
          <cell r="F2290">
            <v>0</v>
          </cell>
        </row>
        <row r="2290">
          <cell r="H2290">
            <v>78320</v>
          </cell>
        </row>
        <row r="2290">
          <cell r="J2290" t="str">
            <v/>
          </cell>
        </row>
        <row r="2291">
          <cell r="D2291" t="str">
            <v>FLEXIBLE WATER PROOF GELOMBANG (TYPE E) 2 1/2"</v>
          </cell>
        </row>
        <row r="2291">
          <cell r="F2291">
            <v>0</v>
          </cell>
        </row>
        <row r="2291">
          <cell r="H2291">
            <v>159170</v>
          </cell>
        </row>
        <row r="2291">
          <cell r="J2291" t="str">
            <v/>
          </cell>
        </row>
        <row r="2292">
          <cell r="D2292" t="str">
            <v>FLEXIBLE WATER PROOF GELOMBANG (TYPE G) 1/2"</v>
          </cell>
        </row>
        <row r="2292">
          <cell r="F2292">
            <v>0</v>
          </cell>
        </row>
        <row r="2292">
          <cell r="H2292">
            <v>14685</v>
          </cell>
        </row>
        <row r="2292">
          <cell r="J2292" t="str">
            <v/>
          </cell>
        </row>
        <row r="2293">
          <cell r="D2293" t="str">
            <v>FLEXIBLE WATER PROOF GELOMBANG (TYPE G) 3/4"</v>
          </cell>
        </row>
        <row r="2293">
          <cell r="F2293">
            <v>0</v>
          </cell>
        </row>
        <row r="2293">
          <cell r="H2293">
            <v>19085</v>
          </cell>
        </row>
        <row r="2293">
          <cell r="J2293" t="str">
            <v/>
          </cell>
        </row>
        <row r="2294">
          <cell r="D2294" t="str">
            <v>FLEXIBLE WATER PROOF GELOMBANG (TYPE G) 1"</v>
          </cell>
        </row>
        <row r="2294">
          <cell r="F2294">
            <v>0</v>
          </cell>
        </row>
        <row r="2294">
          <cell r="H2294">
            <v>27885</v>
          </cell>
        </row>
        <row r="2294">
          <cell r="J2294" t="str">
            <v/>
          </cell>
        </row>
        <row r="2295">
          <cell r="D2295" t="str">
            <v>FLEXIBLE WATER PROOF GELOMBANG (TYPE G) 1 1/4"</v>
          </cell>
        </row>
        <row r="2295">
          <cell r="F2295">
            <v>0</v>
          </cell>
        </row>
        <row r="2295">
          <cell r="H2295">
            <v>40535</v>
          </cell>
        </row>
        <row r="2295">
          <cell r="J2295" t="str">
            <v/>
          </cell>
        </row>
        <row r="2296">
          <cell r="D2296" t="str">
            <v>FLEXIBLE WATER PROOF GELOMBANG (TYPE G) 1 1/2"</v>
          </cell>
        </row>
        <row r="2296">
          <cell r="F2296">
            <v>0</v>
          </cell>
        </row>
        <row r="2296">
          <cell r="H2296">
            <v>53075</v>
          </cell>
        </row>
        <row r="2296">
          <cell r="J2296" t="str">
            <v/>
          </cell>
        </row>
        <row r="2297">
          <cell r="D2297" t="str">
            <v>FLEXIBLE WATER PROOF GELOMBANG (TYPE G) 2"</v>
          </cell>
        </row>
        <row r="2297">
          <cell r="F2297">
            <v>0</v>
          </cell>
        </row>
        <row r="2297">
          <cell r="H2297">
            <v>78320</v>
          </cell>
        </row>
        <row r="2297">
          <cell r="J2297" t="str">
            <v/>
          </cell>
        </row>
        <row r="2298">
          <cell r="D2298" t="str">
            <v>FLEXIBLE WATER PROOF GELOMBANG (TYPE G) 2 1/2"</v>
          </cell>
        </row>
        <row r="2298">
          <cell r="F2298">
            <v>0</v>
          </cell>
        </row>
        <row r="2298">
          <cell r="H2298">
            <v>159170</v>
          </cell>
        </row>
        <row r="2298">
          <cell r="J2298" t="str">
            <v/>
          </cell>
        </row>
        <row r="2299">
          <cell r="D2299" t="str">
            <v>FLEXIBLE WATER PROOF GELOMBANG (TYPE G) 3"</v>
          </cell>
        </row>
        <row r="2299">
          <cell r="F2299">
            <v>0</v>
          </cell>
        </row>
        <row r="2299">
          <cell r="H2299">
            <v>212190</v>
          </cell>
        </row>
        <row r="2299">
          <cell r="J2299" t="str">
            <v/>
          </cell>
        </row>
        <row r="2300">
          <cell r="D2300" t="str">
            <v>FLEXIBLE WATER PROOF GELOMBANG (TYPE G) 4"</v>
          </cell>
        </row>
        <row r="2300">
          <cell r="F2300">
            <v>0</v>
          </cell>
        </row>
        <row r="2300">
          <cell r="H2300">
            <v>298320</v>
          </cell>
        </row>
        <row r="2300">
          <cell r="J2300" t="str">
            <v/>
          </cell>
        </row>
        <row r="2301">
          <cell r="C2301" t="str">
            <v>GPR-EQ07E01001</v>
          </cell>
          <cell r="D2301" t="str">
            <v>Sealtape HQ 12mm x10M 生料带</v>
          </cell>
          <cell r="E2301" t="str">
            <v>SEALTAPE</v>
          </cell>
          <cell r="F2301">
            <v>1</v>
          </cell>
          <cell r="G2301">
            <v>3642.5</v>
          </cell>
          <cell r="H2301">
            <v>3282</v>
          </cell>
          <cell r="I2301">
            <v>0.15</v>
          </cell>
          <cell r="J2301">
            <v>3862</v>
          </cell>
          <cell r="K2301">
            <v>0.15</v>
          </cell>
          <cell r="L2301">
            <v>3862</v>
          </cell>
        </row>
        <row r="2302">
          <cell r="D2302" t="str">
            <v>Sealtape Rucika 12mm x 0.1mm x 10m 生料带</v>
          </cell>
          <cell r="E2302" t="str">
            <v>SEALTAPE</v>
          </cell>
        </row>
      </sheetData>
      <sheetData sheetId="1"/>
      <sheetData sheetId="2">
        <row r="1">
          <cell r="C1" t="str">
            <v>编号</v>
          </cell>
          <cell r="D1" t="str">
            <v>China</v>
          </cell>
          <cell r="E1" t="str">
            <v>English</v>
          </cell>
          <cell r="F1" t="str">
            <v>INCLUDE TAX
出厂价_含税</v>
          </cell>
          <cell r="G1" t="str">
            <v>EXCLUDE TAX
出厂价_不含税</v>
          </cell>
          <cell r="H1" t="str">
            <v>大唐</v>
          </cell>
        </row>
        <row r="1">
          <cell r="J1" t="str">
            <v>其他</v>
          </cell>
        </row>
        <row r="2">
          <cell r="C2">
            <v>8020010083</v>
          </cell>
          <cell r="D2" t="str">
            <v>建筑排水用PVC-U管(A)白色 dn32 4M</v>
          </cell>
          <cell r="E2" t="str">
            <v>PVC-U Drain Pipe(A) dn32 4M - LESSO</v>
          </cell>
          <cell r="F2">
            <v>26762</v>
          </cell>
          <cell r="G2">
            <v>24110</v>
          </cell>
          <cell r="H2">
            <v>0.328</v>
          </cell>
          <cell r="I2">
            <v>35878</v>
          </cell>
          <cell r="J2">
            <v>0.2</v>
          </cell>
          <cell r="K2">
            <v>30138</v>
          </cell>
        </row>
        <row r="3">
          <cell r="C3">
            <v>8020010109</v>
          </cell>
          <cell r="D3" t="str">
            <v>建筑排水用PVC-U管(A)白色 dn50 4M</v>
          </cell>
          <cell r="E3" t="str">
            <v>Drain Pipe PVC-U (A) dn50 4M - LESSO</v>
          </cell>
          <cell r="F3">
            <v>41625</v>
          </cell>
          <cell r="G3">
            <v>37500</v>
          </cell>
          <cell r="H3">
            <v>0.2</v>
          </cell>
          <cell r="I3">
            <v>46875</v>
          </cell>
          <cell r="J3">
            <v>0.2</v>
          </cell>
          <cell r="K3">
            <v>46875</v>
          </cell>
        </row>
        <row r="4">
          <cell r="C4">
            <v>8020010140</v>
          </cell>
          <cell r="D4" t="str">
            <v>建筑排水用PVC-U管(A)白色 dn75 4M</v>
          </cell>
          <cell r="E4" t="str">
            <v>PVC-U Drain Pipe (A) dn75 4M - LESSO</v>
          </cell>
          <cell r="F4">
            <v>71089</v>
          </cell>
          <cell r="G4">
            <v>64045</v>
          </cell>
          <cell r="H4">
            <v>0.27</v>
          </cell>
          <cell r="I4">
            <v>87733</v>
          </cell>
          <cell r="J4">
            <v>0.2</v>
          </cell>
          <cell r="K4">
            <v>80057</v>
          </cell>
        </row>
        <row r="5">
          <cell r="C5">
            <v>8020010018</v>
          </cell>
          <cell r="D5" t="str">
            <v>建筑排水用PVC-U管(A)白色 dn110 4M</v>
          </cell>
          <cell r="E5" t="str">
            <v>PVC-U Drain Pipe (A) 4M dn110 - LESSO</v>
          </cell>
          <cell r="F5">
            <v>143347</v>
          </cell>
          <cell r="G5">
            <v>129142</v>
          </cell>
          <cell r="H5">
            <v>0.188</v>
          </cell>
          <cell r="I5">
            <v>159042</v>
          </cell>
          <cell r="J5">
            <v>0.2</v>
          </cell>
          <cell r="K5">
            <v>161428</v>
          </cell>
        </row>
        <row r="6">
          <cell r="C6">
            <v>8020010044</v>
          </cell>
          <cell r="D6" t="str">
            <v>建筑排水用PVC-U管(A)白色 dn160 4M</v>
          </cell>
          <cell r="E6" t="str">
            <v>PVC-U Drain Pipe(A) dn160 4M - LESSO</v>
          </cell>
          <cell r="F6">
            <v>263596</v>
          </cell>
          <cell r="G6">
            <v>237474</v>
          </cell>
          <cell r="H6">
            <v>0.188</v>
          </cell>
          <cell r="I6">
            <v>292456</v>
          </cell>
          <cell r="J6">
            <v>0.2</v>
          </cell>
          <cell r="K6">
            <v>296843</v>
          </cell>
        </row>
        <row r="7">
          <cell r="C7">
            <v>8020020752</v>
          </cell>
          <cell r="D7" t="str">
            <v>直通(管箍)PVC-U排水配件白色 dn32</v>
          </cell>
          <cell r="E7" t="str">
            <v>dn32 Coupling(PVC-U DF) -LESSO</v>
          </cell>
          <cell r="F7">
            <v>520</v>
          </cell>
          <cell r="G7">
            <v>469</v>
          </cell>
          <cell r="H7">
            <v>0.4</v>
          </cell>
          <cell r="I7">
            <v>782</v>
          </cell>
          <cell r="J7">
            <v>0.2</v>
          </cell>
          <cell r="K7">
            <v>587</v>
          </cell>
        </row>
        <row r="8">
          <cell r="C8">
            <v>8020020755</v>
          </cell>
          <cell r="D8" t="str">
            <v>直通(管箍)PVC-U排水配件白色 dn50</v>
          </cell>
          <cell r="E8" t="str">
            <v>Sock 50mm - LESSO</v>
          </cell>
          <cell r="F8">
            <v>1082</v>
          </cell>
          <cell r="G8">
            <v>975</v>
          </cell>
          <cell r="H8">
            <v>0.4</v>
          </cell>
          <cell r="I8">
            <v>1625</v>
          </cell>
          <cell r="J8">
            <v>0.2</v>
          </cell>
          <cell r="K8">
            <v>1219</v>
          </cell>
        </row>
        <row r="9">
          <cell r="C9">
            <v>8020020756</v>
          </cell>
          <cell r="D9" t="str">
            <v>直通(管)PVC-U排水配件白色dn75</v>
          </cell>
          <cell r="E9" t="str">
            <v>Coupling PVC-U Drainage Fittings White dn75 - LESSO</v>
          </cell>
          <cell r="F9">
            <v>2797</v>
          </cell>
          <cell r="G9">
            <v>2520</v>
          </cell>
          <cell r="H9">
            <v>0.4</v>
          </cell>
          <cell r="I9">
            <v>4200</v>
          </cell>
          <cell r="J9">
            <v>0.2</v>
          </cell>
          <cell r="K9">
            <v>3150</v>
          </cell>
        </row>
        <row r="10">
          <cell r="C10">
            <v>8020020757</v>
          </cell>
          <cell r="D10" t="str">
            <v>直通(管箍)PVC-U排水配件白色 dn110</v>
          </cell>
          <cell r="E10" t="str">
            <v>dn110 Coupling (PVC-U DF) - LESSO</v>
          </cell>
          <cell r="F10">
            <v>6440</v>
          </cell>
          <cell r="G10">
            <v>5802</v>
          </cell>
          <cell r="H10">
            <v>0.4</v>
          </cell>
          <cell r="I10">
            <v>9670</v>
          </cell>
          <cell r="J10">
            <v>0.2</v>
          </cell>
          <cell r="K10">
            <v>7253</v>
          </cell>
        </row>
        <row r="11">
          <cell r="C11">
            <v>8020020748</v>
          </cell>
          <cell r="D11" t="str">
            <v>直通(管)PVC-U排水配件白色dn160</v>
          </cell>
          <cell r="E11" t="str">
            <v>Straight-through (Pipe Clamp) PVC-U drainage fitting white dn160 - LESSO</v>
          </cell>
          <cell r="F11">
            <v>13361</v>
          </cell>
          <cell r="G11">
            <v>12037</v>
          </cell>
          <cell r="H11">
            <v>0.4</v>
          </cell>
          <cell r="I11">
            <v>20062</v>
          </cell>
          <cell r="J11">
            <v>0.2</v>
          </cell>
          <cell r="K11">
            <v>15047</v>
          </cell>
        </row>
        <row r="12">
          <cell r="C12">
            <v>8020020563</v>
          </cell>
          <cell r="D12" t="str">
            <v>45°弯头PVC-U排水配件白色 dn50</v>
          </cell>
          <cell r="E12" t="str">
            <v>45° Elbow (PVC-U DF) dn50 - LESSO</v>
          </cell>
          <cell r="F12">
            <v>1437</v>
          </cell>
          <cell r="G12">
            <v>1295</v>
          </cell>
          <cell r="H12">
            <v>0.4</v>
          </cell>
          <cell r="I12">
            <v>2159</v>
          </cell>
          <cell r="J12">
            <v>0.2</v>
          </cell>
          <cell r="K12">
            <v>1619</v>
          </cell>
        </row>
        <row r="13">
          <cell r="C13">
            <v>8020020556</v>
          </cell>
          <cell r="D13" t="str">
            <v>45°弯头PVC-U排水配件白色 dn110</v>
          </cell>
          <cell r="E13" t="str">
            <v>45° Elbow (PVC-U DF) dn110 - LESSO</v>
          </cell>
          <cell r="F13">
            <v>9697</v>
          </cell>
          <cell r="G13">
            <v>8737</v>
          </cell>
          <cell r="H13">
            <v>0.4</v>
          </cell>
          <cell r="I13">
            <v>14562</v>
          </cell>
          <cell r="J13">
            <v>0.2</v>
          </cell>
          <cell r="K13">
            <v>10922</v>
          </cell>
        </row>
        <row r="14">
          <cell r="C14">
            <v>8020020558</v>
          </cell>
          <cell r="D14" t="str">
            <v>45°弯头PVC-U排水配件白色 dn160</v>
          </cell>
          <cell r="E14" t="str">
            <v>45° Elbow (PVC-U DF) dn160 - LESSO</v>
          </cell>
          <cell r="F14">
            <v>21629</v>
          </cell>
          <cell r="G14">
            <v>19486</v>
          </cell>
          <cell r="H14">
            <v>0.4</v>
          </cell>
          <cell r="I14">
            <v>32477</v>
          </cell>
          <cell r="J14">
            <v>0.2</v>
          </cell>
          <cell r="K14">
            <v>24358</v>
          </cell>
        </row>
        <row r="15">
          <cell r="C15">
            <v>8020020595</v>
          </cell>
          <cell r="D15" t="str">
            <v>90°直角弯头32弯头</v>
          </cell>
          <cell r="E15" t="str">
            <v>90° Elbow (PVC-U DF) dn32 - LESSO</v>
          </cell>
          <cell r="F15">
            <v>976</v>
          </cell>
          <cell r="G15">
            <v>880</v>
          </cell>
          <cell r="H15">
            <v>0.4</v>
          </cell>
          <cell r="I15">
            <v>1467</v>
          </cell>
          <cell r="J15">
            <v>0.2</v>
          </cell>
          <cell r="K15">
            <v>1100</v>
          </cell>
        </row>
        <row r="16">
          <cell r="C16">
            <v>8020020597</v>
          </cell>
          <cell r="D16" t="str">
            <v>90°直角弯头PVC-U排水配件白色 dn50</v>
          </cell>
          <cell r="E16" t="str">
            <v>elbow dia 90 50mm - LESSO</v>
          </cell>
          <cell r="F16">
            <v>2151</v>
          </cell>
          <cell r="G16">
            <v>1938</v>
          </cell>
          <cell r="H16">
            <v>0.4</v>
          </cell>
          <cell r="I16">
            <v>3230</v>
          </cell>
          <cell r="J16">
            <v>0.2</v>
          </cell>
          <cell r="K16">
            <v>2423</v>
          </cell>
        </row>
        <row r="17">
          <cell r="C17">
            <v>8020020588</v>
          </cell>
          <cell r="D17" t="str">
            <v>90°直角弯头PVC-U排水配件白色 dn110</v>
          </cell>
          <cell r="E17" t="str">
            <v>elbow dia 90 110mm - LESSO</v>
          </cell>
          <cell r="F17">
            <v>12880</v>
          </cell>
          <cell r="G17">
            <v>11604</v>
          </cell>
          <cell r="H17">
            <v>0.4</v>
          </cell>
          <cell r="I17">
            <v>19340</v>
          </cell>
          <cell r="J17">
            <v>0.2</v>
          </cell>
          <cell r="K17">
            <v>14505</v>
          </cell>
        </row>
        <row r="18">
          <cell r="C18">
            <v>8020020592</v>
          </cell>
          <cell r="D18" t="str">
            <v>90°直角弯头PVC-U排水配件白色 dn160</v>
          </cell>
          <cell r="E18" t="e">
            <v>#N/A</v>
          </cell>
          <cell r="F18">
            <v>28351</v>
          </cell>
          <cell r="G18">
            <v>25542</v>
          </cell>
          <cell r="H18">
            <v>0.4</v>
          </cell>
          <cell r="I18">
            <v>42570</v>
          </cell>
          <cell r="J18">
            <v>0.2</v>
          </cell>
          <cell r="K18">
            <v>31928</v>
          </cell>
        </row>
        <row r="19">
          <cell r="C19">
            <v>8020020634</v>
          </cell>
          <cell r="D19" t="str">
            <v>45°弯头（带检查口）DN50</v>
          </cell>
          <cell r="E19" t="str">
            <v>45 Elbow w/Co (PVC-U DF) dn50 - LESSO</v>
          </cell>
          <cell r="F19">
            <v>2362</v>
          </cell>
          <cell r="G19">
            <v>2128</v>
          </cell>
          <cell r="H19">
            <v>0.4</v>
          </cell>
          <cell r="I19">
            <v>3547</v>
          </cell>
          <cell r="J19">
            <v>0.2</v>
          </cell>
          <cell r="K19">
            <v>2660</v>
          </cell>
        </row>
        <row r="20">
          <cell r="C20">
            <v>8020020639</v>
          </cell>
          <cell r="D20" t="str">
            <v>90°弯头(带检查口)PVC-U排水配件白色 dn110</v>
          </cell>
          <cell r="E20" t="str">
            <v>dn110 90Elbow w/Co(PVC-U DF) -LESSO</v>
          </cell>
          <cell r="F20">
            <v>16769</v>
          </cell>
          <cell r="G20">
            <v>15108</v>
          </cell>
          <cell r="H20">
            <v>0.4</v>
          </cell>
          <cell r="I20">
            <v>25180</v>
          </cell>
          <cell r="J20">
            <v>0.2</v>
          </cell>
          <cell r="K20">
            <v>18885</v>
          </cell>
        </row>
        <row r="21">
          <cell r="C21">
            <v>8020020643</v>
          </cell>
          <cell r="D21" t="str">
            <v>90°弯头(带检查口)PVC-U排水配件白色 dn50</v>
          </cell>
          <cell r="E21" t="str">
            <v>dn50 90Elbow w/Co(PVC-U DF) -LESSO</v>
          </cell>
          <cell r="F21">
            <v>3159</v>
          </cell>
          <cell r="G21">
            <v>2846</v>
          </cell>
          <cell r="H21">
            <v>0.4</v>
          </cell>
          <cell r="I21">
            <v>4744</v>
          </cell>
          <cell r="J21">
            <v>0.2</v>
          </cell>
          <cell r="K21">
            <v>3558</v>
          </cell>
        </row>
        <row r="22">
          <cell r="C22">
            <v>8020022875</v>
          </cell>
          <cell r="D22" t="str">
            <v>90°异径弯头50*32</v>
          </cell>
          <cell r="E22" t="str">
            <v>90° Elbow Reducer (PVC-UDF) dn50 x 32 - LESSO</v>
          </cell>
          <cell r="F22">
            <v>1612</v>
          </cell>
          <cell r="G22">
            <v>1453</v>
          </cell>
          <cell r="H22">
            <v>0.4</v>
          </cell>
          <cell r="I22">
            <v>2422</v>
          </cell>
          <cell r="J22">
            <v>0.2</v>
          </cell>
          <cell r="K22">
            <v>1817</v>
          </cell>
        </row>
        <row r="23">
          <cell r="C23">
            <v>8020020343</v>
          </cell>
          <cell r="D23" t="str">
            <v>90°顺水三通(等径三通)PVC-U排水配件白色 dn50</v>
          </cell>
          <cell r="E23" t="str">
            <v>dn50 Sanitary tee(PVC-U DF) -LESSO</v>
          </cell>
          <cell r="F23">
            <v>2600</v>
          </cell>
          <cell r="G23">
            <v>2343</v>
          </cell>
          <cell r="H23">
            <v>0.4</v>
          </cell>
          <cell r="I23">
            <v>3905</v>
          </cell>
          <cell r="J23">
            <v>0.2</v>
          </cell>
          <cell r="K23">
            <v>2929</v>
          </cell>
        </row>
        <row r="24">
          <cell r="C24">
            <v>8020020344</v>
          </cell>
          <cell r="D24" t="str">
            <v>90°顺水三通(等径三通)PVC-U排水配件白色 dn75</v>
          </cell>
          <cell r="E24" t="str">
            <v>dn75 Sanitary tee(PVC-U DF) -LESSO</v>
          </cell>
          <cell r="F24">
            <v>7194</v>
          </cell>
          <cell r="G24">
            <v>6482</v>
          </cell>
          <cell r="H24">
            <v>0.4</v>
          </cell>
          <cell r="I24">
            <v>10804</v>
          </cell>
          <cell r="J24">
            <v>0.2</v>
          </cell>
          <cell r="K24">
            <v>8103</v>
          </cell>
        </row>
        <row r="25">
          <cell r="C25">
            <v>8020020349</v>
          </cell>
          <cell r="D25" t="str">
            <v>90°顺水三通(等径三通)PVC-U排水配件白色 dn110</v>
          </cell>
          <cell r="E25" t="str">
            <v>dn110 Sanitary tee(PVC-U DF) -LESSO</v>
          </cell>
          <cell r="F25">
            <v>17498</v>
          </cell>
          <cell r="G25">
            <v>15764</v>
          </cell>
          <cell r="H25">
            <v>0.4</v>
          </cell>
          <cell r="I25">
            <v>26274</v>
          </cell>
          <cell r="J25">
            <v>0.2</v>
          </cell>
          <cell r="K25">
            <v>19705</v>
          </cell>
        </row>
        <row r="26">
          <cell r="C26">
            <v>8020020337</v>
          </cell>
          <cell r="D26" t="str">
            <v>90°顺水三通(等径三通)PVC-U排水配件白色 dn160</v>
          </cell>
          <cell r="E26" t="str">
            <v>dn160 Sanitary tee(PVC-U DF)</v>
          </cell>
          <cell r="F26">
            <v>42652</v>
          </cell>
          <cell r="G26">
            <v>38426</v>
          </cell>
          <cell r="H26">
            <v>0.4</v>
          </cell>
          <cell r="I26">
            <v>64044</v>
          </cell>
          <cell r="J26">
            <v>0.2</v>
          </cell>
          <cell r="K26">
            <v>48033</v>
          </cell>
        </row>
        <row r="27">
          <cell r="C27">
            <v>8020021489</v>
          </cell>
          <cell r="D27" t="str">
            <v>顺水三通(带检查口)PVC-U排水配件白色 dn160</v>
          </cell>
          <cell r="E27" t="str">
            <v>dn160 Sanitary tee w/CO (PVC-U DF)</v>
          </cell>
          <cell r="F27">
            <v>44909</v>
          </cell>
          <cell r="G27">
            <v>40459</v>
          </cell>
          <cell r="H27">
            <v>0.4</v>
          </cell>
          <cell r="I27">
            <v>67432</v>
          </cell>
          <cell r="J27">
            <v>0.2</v>
          </cell>
          <cell r="K27">
            <v>50574</v>
          </cell>
        </row>
        <row r="28">
          <cell r="C28">
            <v>8020022124</v>
          </cell>
          <cell r="D28" t="str">
            <v>90°异径三通PVC-U排水配件白色 dn50×32</v>
          </cell>
          <cell r="E28" t="str">
            <v>Re Tee(PVC-U DF)W 50X32 -LESSO</v>
          </cell>
          <cell r="F28">
            <v>2479</v>
          </cell>
          <cell r="G28">
            <v>2234</v>
          </cell>
          <cell r="H28">
            <v>0.4</v>
          </cell>
          <cell r="I28">
            <v>3724</v>
          </cell>
          <cell r="J28">
            <v>0.2</v>
          </cell>
          <cell r="K28">
            <v>2793</v>
          </cell>
        </row>
        <row r="29">
          <cell r="C29">
            <v>8020020430</v>
          </cell>
          <cell r="D29" t="str">
            <v>90°异径三通PVC-U排水配件白色 dn110×50</v>
          </cell>
          <cell r="E29" t="str">
            <v>Reducing Tee Drainage PVC-U dn110×50 - LESSO</v>
          </cell>
          <cell r="F29">
            <v>10750</v>
          </cell>
          <cell r="G29">
            <v>9685</v>
          </cell>
          <cell r="H29">
            <v>0.4</v>
          </cell>
          <cell r="I29">
            <v>16142</v>
          </cell>
          <cell r="J29">
            <v>0.2</v>
          </cell>
          <cell r="K29">
            <v>12107</v>
          </cell>
        </row>
        <row r="30">
          <cell r="C30">
            <v>8020020432</v>
          </cell>
          <cell r="D30" t="str">
            <v>90°异径三通PVC-U排水配件白色 dn160×110</v>
          </cell>
          <cell r="E30" t="str">
            <v>dn160X110 Rd sanitary tee(PVC-U DF) -LESSO</v>
          </cell>
          <cell r="F30">
            <v>32079</v>
          </cell>
          <cell r="G30">
            <v>28900</v>
          </cell>
          <cell r="H30">
            <v>0.4</v>
          </cell>
          <cell r="I30">
            <v>48167</v>
          </cell>
          <cell r="J30">
            <v>0.2</v>
          </cell>
          <cell r="K30">
            <v>36125</v>
          </cell>
        </row>
        <row r="31">
          <cell r="C31">
            <v>8020020375</v>
          </cell>
          <cell r="D31" t="str">
            <v>45°异径斜三通PVC-U排水配件白色 dn160×110</v>
          </cell>
          <cell r="E31" t="str">
            <v>dn160X110 Reducing wye(PVC-U DF) -LESSO</v>
          </cell>
          <cell r="F31">
            <v>37911</v>
          </cell>
          <cell r="G31">
            <v>34155</v>
          </cell>
          <cell r="H31">
            <v>0.4</v>
          </cell>
          <cell r="I31">
            <v>56925</v>
          </cell>
          <cell r="J31">
            <v>0.2</v>
          </cell>
          <cell r="K31">
            <v>42694</v>
          </cell>
        </row>
        <row r="32">
          <cell r="C32">
            <v>8020020373</v>
          </cell>
          <cell r="D32" t="str">
            <v>45°异径三通PVC-U排水配件白色 dn110×50</v>
          </cell>
          <cell r="E32" t="str">
            <v>45° Rd Sanitary Tee (PVC-U DF) dn110X50 - LESSO</v>
          </cell>
          <cell r="F32">
            <v>11982</v>
          </cell>
          <cell r="G32">
            <v>10795</v>
          </cell>
          <cell r="H32">
            <v>0.4</v>
          </cell>
          <cell r="I32">
            <v>17992</v>
          </cell>
          <cell r="J32">
            <v>0.2</v>
          </cell>
          <cell r="K32">
            <v>13494</v>
          </cell>
        </row>
        <row r="33">
          <cell r="C33">
            <v>8020020410</v>
          </cell>
          <cell r="D33" t="str">
            <v>45°斜三通PVC-U排水配件白色 dn50</v>
          </cell>
          <cell r="E33" t="str">
            <v>dn50 Wye(PVC-U DF) -LESSO</v>
          </cell>
          <cell r="F33">
            <v>3451</v>
          </cell>
          <cell r="G33">
            <v>3110</v>
          </cell>
          <cell r="H33">
            <v>0.4</v>
          </cell>
          <cell r="I33">
            <v>5184</v>
          </cell>
          <cell r="J33">
            <v>0.2</v>
          </cell>
          <cell r="K33">
            <v>3888</v>
          </cell>
        </row>
        <row r="34">
          <cell r="C34">
            <v>8020020405</v>
          </cell>
          <cell r="D34" t="str">
            <v>45°斜三通PVC-U排水配件白色 dn110</v>
          </cell>
          <cell r="E34" t="str">
            <v>dn110 Wye(PVC-U DF) - LESSO</v>
          </cell>
          <cell r="F34">
            <v>22844</v>
          </cell>
          <cell r="G34">
            <v>20581</v>
          </cell>
          <cell r="H34">
            <v>0.4</v>
          </cell>
          <cell r="I34">
            <v>34302</v>
          </cell>
          <cell r="J34">
            <v>0.2</v>
          </cell>
          <cell r="K34">
            <v>25727</v>
          </cell>
        </row>
        <row r="35">
          <cell r="C35">
            <v>8020020406</v>
          </cell>
          <cell r="D35" t="str">
            <v>45°斜三通PVC-U排水配件白色 dn160</v>
          </cell>
          <cell r="E35" t="e">
            <v>#N/A</v>
          </cell>
          <cell r="F35">
            <v>52687</v>
          </cell>
          <cell r="G35">
            <v>47466</v>
          </cell>
          <cell r="H35">
            <v>0.4</v>
          </cell>
          <cell r="I35">
            <v>79110</v>
          </cell>
          <cell r="J35">
            <v>0.2</v>
          </cell>
          <cell r="K35">
            <v>59333</v>
          </cell>
        </row>
        <row r="36">
          <cell r="C36">
            <v>8020020480</v>
          </cell>
          <cell r="D36" t="str">
            <v>瓶型三通PVC-U排水配件白色 dn110×50</v>
          </cell>
          <cell r="E36" t="str">
            <v>dn110X50 Bottle tee(PVC-U DF) -LESSO</v>
          </cell>
          <cell r="F36">
            <v>17498</v>
          </cell>
          <cell r="G36">
            <v>15764</v>
          </cell>
          <cell r="H36">
            <v>0.4</v>
          </cell>
          <cell r="I36">
            <v>26274</v>
          </cell>
          <cell r="J36">
            <v>0.2</v>
          </cell>
          <cell r="K36">
            <v>19705</v>
          </cell>
        </row>
        <row r="37">
          <cell r="C37">
            <v>8020020047</v>
          </cell>
          <cell r="D37" t="str">
            <v>大小头PVC-U排水配件白色 dn110×50</v>
          </cell>
          <cell r="E37" t="str">
            <v>Reducer 110mm x 50mm - LESSO</v>
          </cell>
          <cell r="F37">
            <v>4180</v>
          </cell>
          <cell r="G37">
            <v>3766</v>
          </cell>
          <cell r="H37">
            <v>0.4</v>
          </cell>
          <cell r="I37">
            <v>6277</v>
          </cell>
          <cell r="J37">
            <v>0.2</v>
          </cell>
          <cell r="K37">
            <v>4708</v>
          </cell>
        </row>
        <row r="38">
          <cell r="C38">
            <v>8020020049</v>
          </cell>
          <cell r="D38" t="str">
            <v>大小头PVC-U排水配件白色 dn160×110</v>
          </cell>
          <cell r="E38" t="str">
            <v>dn160X110 Reducing bushing(PVC-U DF) -LESSO</v>
          </cell>
          <cell r="F38">
            <v>10280</v>
          </cell>
          <cell r="G38">
            <v>9262</v>
          </cell>
          <cell r="H38">
            <v>0.4</v>
          </cell>
          <cell r="I38">
            <v>15437</v>
          </cell>
          <cell r="J38">
            <v>0.2</v>
          </cell>
          <cell r="K38">
            <v>11578</v>
          </cell>
        </row>
        <row r="39">
          <cell r="C39">
            <v>8020021425</v>
          </cell>
          <cell r="D39" t="str">
            <v>大小头PVC-U排水配件白色 dn50×32</v>
          </cell>
          <cell r="E39" t="str">
            <v>Reducer 50mm x 32mm - LESSO</v>
          </cell>
          <cell r="F39">
            <v>822</v>
          </cell>
          <cell r="G39">
            <v>741</v>
          </cell>
          <cell r="H39">
            <v>0.4</v>
          </cell>
          <cell r="I39">
            <v>1235</v>
          </cell>
          <cell r="J39">
            <v>0.2</v>
          </cell>
          <cell r="K39">
            <v>927</v>
          </cell>
        </row>
        <row r="40">
          <cell r="C40">
            <v>8020020223</v>
          </cell>
          <cell r="D40" t="str">
            <v>立管检查口PVC-U排水配件白色 dn110</v>
          </cell>
          <cell r="E40" t="str">
            <v>dn110 Cleanout tee(PVC-U DF) -LESSO</v>
          </cell>
          <cell r="F40">
            <v>17984</v>
          </cell>
          <cell r="G40">
            <v>16202</v>
          </cell>
          <cell r="H40">
            <v>0.4</v>
          </cell>
          <cell r="I40">
            <v>27004</v>
          </cell>
          <cell r="J40">
            <v>0.2</v>
          </cell>
          <cell r="K40">
            <v>20253</v>
          </cell>
        </row>
        <row r="41">
          <cell r="C41">
            <v>8020020227</v>
          </cell>
          <cell r="D41" t="str">
            <v>立管检查口PVC-U排水配件白色 dn50</v>
          </cell>
          <cell r="E41" t="str">
            <v>dn50 Cleanout tee(PVC-U DF) -LESSO</v>
          </cell>
          <cell r="F41">
            <v>3062</v>
          </cell>
          <cell r="G41">
            <v>2759</v>
          </cell>
          <cell r="H41">
            <v>0.4</v>
          </cell>
          <cell r="I41">
            <v>4599</v>
          </cell>
          <cell r="J41">
            <v>0.2</v>
          </cell>
          <cell r="K41">
            <v>3449</v>
          </cell>
        </row>
        <row r="42">
          <cell r="C42">
            <v>8020020240</v>
          </cell>
          <cell r="D42" t="str">
            <v>P型存水弯(带检查口)PVC-U排水配件白色 dn110</v>
          </cell>
          <cell r="E42" t="str">
            <v>dn110 P Trap with cleanout(PVC-U DF) -LESSO</v>
          </cell>
          <cell r="F42">
            <v>39856</v>
          </cell>
          <cell r="G42">
            <v>35907</v>
          </cell>
          <cell r="H42">
            <v>0.4</v>
          </cell>
          <cell r="I42">
            <v>59845</v>
          </cell>
          <cell r="J42">
            <v>0.2</v>
          </cell>
          <cell r="K42">
            <v>44884</v>
          </cell>
        </row>
        <row r="43">
          <cell r="C43">
            <v>8020020242</v>
          </cell>
          <cell r="D43" t="str">
            <v>P型存水弯(带检查口)PVC-U排水配件白色 dn50</v>
          </cell>
          <cell r="E43" t="str">
            <v>P Trap With Cleanout (PVC-U DF) dn50 - LESSO</v>
          </cell>
          <cell r="F43">
            <v>6479</v>
          </cell>
          <cell r="G43">
            <v>5837</v>
          </cell>
          <cell r="H43">
            <v>0.4</v>
          </cell>
          <cell r="I43">
            <v>9729</v>
          </cell>
          <cell r="J43">
            <v>0.2</v>
          </cell>
          <cell r="K43">
            <v>7297</v>
          </cell>
        </row>
        <row r="44">
          <cell r="C44">
            <v>8020020266</v>
          </cell>
          <cell r="D44" t="str">
            <v>存水弯(带检查口)PVC-U排水配件白色 dn50</v>
          </cell>
          <cell r="E44" t="str">
            <v>Trap With Cleanout (PVC-U DF) dn50 - LESSO</v>
          </cell>
          <cell r="F44">
            <v>3141</v>
          </cell>
          <cell r="G44">
            <v>2830</v>
          </cell>
          <cell r="H44">
            <v>0.4</v>
          </cell>
          <cell r="I44">
            <v>4717</v>
          </cell>
          <cell r="J44">
            <v>0.2</v>
          </cell>
          <cell r="K44">
            <v>3538</v>
          </cell>
        </row>
        <row r="45">
          <cell r="C45">
            <v>8020020302</v>
          </cell>
          <cell r="D45" t="str">
            <v>清扫口(外插)PVC-U排水配件白色 dn110</v>
          </cell>
          <cell r="E45" t="str">
            <v>DOP 110mm - LESSO</v>
          </cell>
          <cell r="F45">
            <v>8287</v>
          </cell>
          <cell r="G45">
            <v>7466</v>
          </cell>
          <cell r="H45">
            <v>0.4</v>
          </cell>
          <cell r="I45">
            <v>12444</v>
          </cell>
          <cell r="J45">
            <v>0.2</v>
          </cell>
          <cell r="K45">
            <v>9333</v>
          </cell>
        </row>
        <row r="46">
          <cell r="C46">
            <v>8020020307</v>
          </cell>
          <cell r="D46" t="str">
            <v>清扫口(外插)PVC-U排水配件白色 dn50</v>
          </cell>
          <cell r="E46" t="str">
            <v>dn50 Cleanout(T H|PVC-U DF) -LESSO</v>
          </cell>
          <cell r="F46">
            <v>1643</v>
          </cell>
          <cell r="G46">
            <v>1481</v>
          </cell>
          <cell r="H46">
            <v>0.4</v>
          </cell>
          <cell r="I46">
            <v>2469</v>
          </cell>
          <cell r="J46">
            <v>0.2</v>
          </cell>
          <cell r="K46">
            <v>1852</v>
          </cell>
        </row>
        <row r="47">
          <cell r="C47">
            <v>8020020324</v>
          </cell>
          <cell r="D47" t="str">
            <v>清扫口(内插)PVC-U排水配件白色 dn110</v>
          </cell>
          <cell r="E47" t="str">
            <v>CCO dn110 Cleanout (Spig|PVC-U DF) - LESSO</v>
          </cell>
          <cell r="F47">
            <v>7947</v>
          </cell>
          <cell r="G47">
            <v>7160</v>
          </cell>
          <cell r="H47">
            <v>0.4</v>
          </cell>
          <cell r="I47">
            <v>11934</v>
          </cell>
          <cell r="J47">
            <v>0.2</v>
          </cell>
          <cell r="K47">
            <v>8950</v>
          </cell>
        </row>
        <row r="48">
          <cell r="C48">
            <v>8020022121</v>
          </cell>
          <cell r="D48" t="str">
            <v>清扫口(内插)PVC-U排水配件白色 dn50</v>
          </cell>
          <cell r="E48" t="str">
            <v>CCO 50mm - LESSO</v>
          </cell>
          <cell r="F48">
            <v>1551</v>
          </cell>
          <cell r="G48">
            <v>1398</v>
          </cell>
          <cell r="H48">
            <v>0.4</v>
          </cell>
          <cell r="I48">
            <v>2330</v>
          </cell>
          <cell r="J48">
            <v>0.2</v>
          </cell>
          <cell r="K48">
            <v>1748</v>
          </cell>
        </row>
        <row r="49">
          <cell r="C49">
            <v>8020020169</v>
          </cell>
          <cell r="D49" t="str">
            <v>PVC管卡(配200mm长尖咀螺丝)PVC-U排水配件白色 dn75</v>
          </cell>
          <cell r="E49" t="str">
            <v>dn75 PVC pipe clamp(w/200mmTS PVC-U DF)</v>
          </cell>
        </row>
        <row r="49">
          <cell r="G49">
            <v>0</v>
          </cell>
          <cell r="H49">
            <v>0.4</v>
          </cell>
          <cell r="I49">
            <v>0</v>
          </cell>
          <cell r="J49" t="e">
            <v>#N/A</v>
          </cell>
          <cell r="K49" t="e">
            <v>#N/A</v>
          </cell>
        </row>
        <row r="50">
          <cell r="C50">
            <v>8020020168</v>
          </cell>
          <cell r="D50" t="str">
            <v>PVC管卡(配200mm长尖咀螺丝)PVC-U排水配件白色 dn50</v>
          </cell>
          <cell r="E50" t="str">
            <v>dn50 PVC pipe clamp(w/200mmTS|PVC-U DF) -LESSO</v>
          </cell>
          <cell r="F50">
            <v>4034</v>
          </cell>
          <cell r="G50">
            <v>3635</v>
          </cell>
          <cell r="H50">
            <v>0.4</v>
          </cell>
          <cell r="I50">
            <v>6059</v>
          </cell>
          <cell r="J50">
            <v>0.2</v>
          </cell>
          <cell r="K50">
            <v>4544</v>
          </cell>
        </row>
        <row r="51">
          <cell r="C51">
            <v>8020020167</v>
          </cell>
          <cell r="D51" t="str">
            <v>PVC管卡(配200mm长尖咀螺丝)PVC-U排水配件白色 dn160</v>
          </cell>
          <cell r="E51" t="str">
            <v>dn160 PVC pipe clamp(w/200mmTS PVC-U DF)</v>
          </cell>
          <cell r="F51">
            <v>7413</v>
          </cell>
          <cell r="G51">
            <v>6679</v>
          </cell>
          <cell r="H51">
            <v>0.4</v>
          </cell>
          <cell r="I51">
            <v>11132</v>
          </cell>
          <cell r="J51" t="e">
            <v>#N/A</v>
          </cell>
          <cell r="K51" t="e">
            <v>#N/A</v>
          </cell>
        </row>
        <row r="52">
          <cell r="C52">
            <v>8020020166</v>
          </cell>
          <cell r="D52" t="str">
            <v>PVC管卡(配200mm长尖咀螺丝)PVC-U排水配件白色 dn110</v>
          </cell>
          <cell r="E52" t="str">
            <v> dn110 PVC pipe clamp(w/200mmTS PVC-U DF) 0.5 WHITE 80 B</v>
          </cell>
          <cell r="F52">
            <v>5444</v>
          </cell>
          <cell r="G52">
            <v>4905</v>
          </cell>
          <cell r="H52">
            <v>0.4</v>
          </cell>
          <cell r="I52">
            <v>8175</v>
          </cell>
          <cell r="J52">
            <v>0.2</v>
          </cell>
          <cell r="K52">
            <v>6132</v>
          </cell>
        </row>
        <row r="53">
          <cell r="C53">
            <v>8020021440</v>
          </cell>
          <cell r="D53" t="str">
            <v>PVC管卡(配120mm长尖咀螺丝)PVC-U排水配件白色 dn50</v>
          </cell>
          <cell r="E53" t="str">
            <v>dn50 PVC clamp (w/120mm S)(PVC-U DF) -LESSO</v>
          </cell>
          <cell r="F53">
            <v>3159</v>
          </cell>
          <cell r="G53">
            <v>2846</v>
          </cell>
          <cell r="H53">
            <v>0.4</v>
          </cell>
          <cell r="I53">
            <v>4744</v>
          </cell>
          <cell r="J53">
            <v>0.2</v>
          </cell>
          <cell r="K53">
            <v>3558</v>
          </cell>
        </row>
        <row r="54">
          <cell r="C54">
            <v>8020020181</v>
          </cell>
          <cell r="D54" t="str">
            <v>PVC管卡(配尖咀螺丝)PVC-U排水配件白色 dn110</v>
          </cell>
          <cell r="E54" t="str">
            <v>dn110 PVC pipe clamp(TS|PVC-U DF) -LESSO</v>
          </cell>
          <cell r="F54">
            <v>4569</v>
          </cell>
          <cell r="G54">
            <v>4117</v>
          </cell>
          <cell r="H54">
            <v>0.4</v>
          </cell>
          <cell r="I54">
            <v>6862</v>
          </cell>
          <cell r="J54">
            <v>0.2</v>
          </cell>
          <cell r="K54">
            <v>5147</v>
          </cell>
        </row>
        <row r="55">
          <cell r="C55">
            <v>8020020182</v>
          </cell>
          <cell r="D55" t="str">
            <v>PVC管卡(配尖咀螺丝)PVC-U排水配件白色 dn160</v>
          </cell>
          <cell r="E55" t="str">
            <v>dn160 PVC pipe clamp(TS PVC-U DF)</v>
          </cell>
          <cell r="F55">
            <v>7401</v>
          </cell>
          <cell r="G55">
            <v>6668</v>
          </cell>
          <cell r="H55">
            <v>0.4</v>
          </cell>
          <cell r="I55">
            <v>11114</v>
          </cell>
          <cell r="J55">
            <v>0.2</v>
          </cell>
          <cell r="K55">
            <v>8335</v>
          </cell>
        </row>
        <row r="56">
          <cell r="C56">
            <v>8020020183</v>
          </cell>
          <cell r="D56" t="str">
            <v>PVC管卡(配尖咀螺丝)PVC-U排水配件白色 dn50</v>
          </cell>
          <cell r="E56" t="str">
            <v>dn50 PVC pipe clamp(TS PVC-U DF)</v>
          </cell>
        </row>
        <row r="56">
          <cell r="G56">
            <v>0</v>
          </cell>
          <cell r="H56">
            <v>0.4</v>
          </cell>
          <cell r="I56">
            <v>0</v>
          </cell>
          <cell r="J56" t="e">
            <v>#N/A</v>
          </cell>
          <cell r="K56" t="e">
            <v>#N/A</v>
          </cell>
        </row>
        <row r="57">
          <cell r="C57">
            <v>8020020184</v>
          </cell>
          <cell r="D57" t="str">
            <v>PVC管卡(配尖咀螺丝)PVC-U排水配件白色 dn75</v>
          </cell>
          <cell r="E57" t="str">
            <v>dn75 PVC pipe clamp(TS PVC-U DF)</v>
          </cell>
        </row>
        <row r="57">
          <cell r="G57">
            <v>0</v>
          </cell>
          <cell r="H57">
            <v>0.4</v>
          </cell>
          <cell r="I57">
            <v>0</v>
          </cell>
          <cell r="J57" t="e">
            <v>#N/A</v>
          </cell>
          <cell r="K57" t="e">
            <v>#N/A</v>
          </cell>
        </row>
        <row r="58">
          <cell r="C58">
            <v>8020020186</v>
          </cell>
          <cell r="D58" t="str">
            <v>Ⅲ型管卡PVC-U排水配件白色 dn110</v>
          </cell>
          <cell r="E58" t="str">
            <v>dn110 Pipe clamp(T|PVC-U DF) -LESSO</v>
          </cell>
          <cell r="F58">
            <v>5808</v>
          </cell>
          <cell r="G58">
            <v>5233</v>
          </cell>
          <cell r="H58">
            <v>0.4</v>
          </cell>
          <cell r="I58">
            <v>8722</v>
          </cell>
          <cell r="J58">
            <v>0.2</v>
          </cell>
          <cell r="K58">
            <v>6542</v>
          </cell>
        </row>
        <row r="59">
          <cell r="C59">
            <v>8020020187</v>
          </cell>
          <cell r="D59" t="str">
            <v>Ⅲ型管卡PVC-U排水配件白色 dn50</v>
          </cell>
          <cell r="E59" t="str">
            <v>dn50 Pipe clamp(T|PVC-U DF) -LESSO</v>
          </cell>
          <cell r="F59">
            <v>2868</v>
          </cell>
          <cell r="G59">
            <v>2584</v>
          </cell>
          <cell r="H59">
            <v>0.4</v>
          </cell>
          <cell r="I59">
            <v>4307</v>
          </cell>
          <cell r="J59">
            <v>0.2</v>
          </cell>
          <cell r="K59">
            <v>3230</v>
          </cell>
        </row>
        <row r="60">
          <cell r="C60">
            <v>8020020672</v>
          </cell>
          <cell r="D60" t="str">
            <v>45°异径斜四通PVC-U排水配件白色 dn160×110</v>
          </cell>
          <cell r="E60" t="str">
            <v>dn160X110 Reducing double wye(PVC-U DF) -LESSO</v>
          </cell>
          <cell r="F60">
            <v>48362</v>
          </cell>
          <cell r="G60">
            <v>43570</v>
          </cell>
          <cell r="H60">
            <v>0.4</v>
          </cell>
          <cell r="I60">
            <v>72617</v>
          </cell>
          <cell r="J60">
            <v>0.2</v>
          </cell>
          <cell r="K60">
            <v>54463</v>
          </cell>
        </row>
        <row r="61">
          <cell r="C61">
            <v>8020020283</v>
          </cell>
          <cell r="D61" t="str">
            <v>异径立体四通PVC-U排水配件白色 dn110×50</v>
          </cell>
          <cell r="E61" t="str">
            <v>dn110X50 Reducing tee w/S-I(PVC-U DF) -LESSO</v>
          </cell>
          <cell r="F61">
            <v>13124</v>
          </cell>
          <cell r="G61">
            <v>11824</v>
          </cell>
          <cell r="H61">
            <v>0.4</v>
          </cell>
          <cell r="I61">
            <v>19707</v>
          </cell>
          <cell r="J61">
            <v>0.2</v>
          </cell>
          <cell r="K61">
            <v>14780</v>
          </cell>
        </row>
        <row r="62">
          <cell r="C62">
            <v>8020020676</v>
          </cell>
          <cell r="D62" t="str">
            <v>45°斜四通PVC-U排水配件白色 dn160</v>
          </cell>
          <cell r="E62" t="str">
            <v>dn160 Double wye(PVC-U DF) -LESSO</v>
          </cell>
          <cell r="F62">
            <v>67561</v>
          </cell>
          <cell r="G62">
            <v>60866</v>
          </cell>
          <cell r="H62">
            <v>0.4</v>
          </cell>
          <cell r="I62">
            <v>101444</v>
          </cell>
          <cell r="J62">
            <v>0.2</v>
          </cell>
          <cell r="K62">
            <v>76083</v>
          </cell>
        </row>
        <row r="63">
          <cell r="C63">
            <v>8020020730</v>
          </cell>
          <cell r="D63" t="str">
            <v>异径套PVC-U排水配件白色 dn160×110</v>
          </cell>
          <cell r="E63" t="str">
            <v>dn160X110 Reducer(PVC-U DF) -LESSO</v>
          </cell>
          <cell r="F63">
            <v>11763</v>
          </cell>
          <cell r="G63">
            <v>10598</v>
          </cell>
          <cell r="H63">
            <v>0.4</v>
          </cell>
          <cell r="I63">
            <v>17664</v>
          </cell>
          <cell r="J63">
            <v>0.2</v>
          </cell>
          <cell r="K63">
            <v>13248</v>
          </cell>
        </row>
        <row r="64">
          <cell r="C64">
            <v>8020023215</v>
          </cell>
          <cell r="D64" t="str">
            <v>穿楼板预埋接头(止水节)PVC-U排水配件白色 dn50(h118)</v>
          </cell>
          <cell r="E64" t="str">
            <v>Floor Slab Pre-Buried Joint (Water Stop), PVC-U Drainage Fitting, White, DN50 - LESSO</v>
          </cell>
          <cell r="F64">
            <v>4266</v>
          </cell>
          <cell r="G64">
            <v>3844</v>
          </cell>
          <cell r="H64">
            <v>0.4</v>
          </cell>
          <cell r="I64">
            <v>6407</v>
          </cell>
          <cell r="J64">
            <v>0.2</v>
          </cell>
          <cell r="K64">
            <v>4805</v>
          </cell>
        </row>
        <row r="65">
          <cell r="C65">
            <v>8020022039</v>
          </cell>
          <cell r="D65" t="str">
            <v>穿楼板预埋接头(止水节)PVC-U排水配件白色 dn110</v>
          </cell>
          <cell r="E65" t="str">
            <v>Floor Slab Pre-Buried Joint (Water Stop), PVC-U Drainage Fitting, White</v>
          </cell>
          <cell r="F65">
            <v>9545</v>
          </cell>
          <cell r="G65">
            <v>8600</v>
          </cell>
          <cell r="H65">
            <v>0.4</v>
          </cell>
          <cell r="I65">
            <v>14334</v>
          </cell>
          <cell r="J65">
            <v>0.2</v>
          </cell>
          <cell r="K65">
            <v>10750</v>
          </cell>
        </row>
        <row r="66">
          <cell r="C66">
            <v>8020020508</v>
          </cell>
          <cell r="D66" t="str">
            <v>螺纹伸缩节PVC-U排水配件白色 dn110</v>
          </cell>
          <cell r="E66" t="e">
            <v>#N/A</v>
          </cell>
          <cell r="F66">
            <v>15806</v>
          </cell>
          <cell r="G66">
            <v>14240</v>
          </cell>
          <cell r="H66">
            <v>0.4</v>
          </cell>
          <cell r="I66">
            <v>23734</v>
          </cell>
          <cell r="J66">
            <v>0.2</v>
          </cell>
          <cell r="K66">
            <v>17800</v>
          </cell>
        </row>
        <row r="67">
          <cell r="C67">
            <v>8020020104</v>
          </cell>
          <cell r="D67" t="str">
            <v>侧地漏PVC-U排水配件白色 dn110</v>
          </cell>
          <cell r="E67" t="e">
            <v>#N/A</v>
          </cell>
          <cell r="F67">
            <v>19821</v>
          </cell>
          <cell r="G67">
            <v>17857</v>
          </cell>
          <cell r="H67">
            <v>0.4</v>
          </cell>
          <cell r="I67">
            <v>29762</v>
          </cell>
          <cell r="J67">
            <v>0.2</v>
          </cell>
          <cell r="K67">
            <v>22322</v>
          </cell>
        </row>
        <row r="68">
          <cell r="C68">
            <v>8020020205</v>
          </cell>
          <cell r="D68" t="str">
            <v>管帽PVC-U排水配件白色 dn110</v>
          </cell>
          <cell r="E68" t="str">
            <v>Cap DN110 - LESSO</v>
          </cell>
          <cell r="F68">
            <v>4520</v>
          </cell>
          <cell r="G68">
            <v>4073</v>
          </cell>
          <cell r="H68">
            <v>0.4</v>
          </cell>
          <cell r="I68">
            <v>6789</v>
          </cell>
          <cell r="J68">
            <v>0.2</v>
          </cell>
          <cell r="K68">
            <v>5092</v>
          </cell>
        </row>
        <row r="69">
          <cell r="C69">
            <v>8020020207</v>
          </cell>
          <cell r="D69" t="str">
            <v>管帽PVC-U排水配件白色 dn50</v>
          </cell>
          <cell r="E69" t="str">
            <v>Cap DN50 - LESSO</v>
          </cell>
          <cell r="F69">
            <v>674</v>
          </cell>
          <cell r="G69">
            <v>608</v>
          </cell>
          <cell r="H69">
            <v>0.4</v>
          </cell>
          <cell r="I69">
            <v>1014</v>
          </cell>
          <cell r="J69">
            <v>0.2</v>
          </cell>
          <cell r="K69">
            <v>760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79"/>
  <sheetViews>
    <sheetView tabSelected="1" view="pageBreakPreview" zoomScale="55" zoomScaleNormal="25" topLeftCell="A68" workbookViewId="0">
      <selection activeCell="C70" sqref="C70:O70"/>
    </sheetView>
  </sheetViews>
  <sheetFormatPr defaultColWidth="14.4916666666667" defaultRowHeight="37" customHeight="1"/>
  <cols>
    <col min="1" max="1" width="14.4916666666667" customWidth="1"/>
    <col min="2" max="2" width="32.725" customWidth="1"/>
    <col min="3" max="3" width="25" customWidth="1"/>
    <col min="4" max="5" width="17.9583333333333" customWidth="1"/>
    <col min="6" max="6" width="27.5" customWidth="1"/>
    <col min="7" max="7" width="42.5" customWidth="1"/>
    <col min="8" max="8" width="39.5416666666667" customWidth="1"/>
    <col min="9" max="9" width="19.3166666666667" customWidth="1"/>
    <col min="10" max="10" width="18.1833333333333" customWidth="1"/>
    <col min="11" max="11" width="15" customWidth="1"/>
    <col min="12" max="12" width="15.9083333333333" customWidth="1"/>
    <col min="13" max="13" width="15.225" customWidth="1"/>
    <col min="14" max="14" width="39.5416666666667" customWidth="1"/>
    <col min="15" max="15" width="38.8666666666667" customWidth="1"/>
    <col min="16" max="16376" width="14.4916666666667" customWidth="1"/>
  </cols>
  <sheetData>
    <row r="1" ht="78" customHeight="1" spans="1:16">
      <c r="A1" s="3" t="str">
        <f>_xlfn.DISPIMG("ID_E5F16E92F4164DD3808EB5806117DC00",1)</f>
        <v>=DISPIMG("ID_E5F16E92F4164DD3808EB5806117DC00",1)</v>
      </c>
      <c r="B1" s="4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ht="181" customHeight="1" spans="1:16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ht="136" customHeight="1" spans="1:16">
      <c r="A3" s="9"/>
      <c r="B3" s="10"/>
      <c r="C3" s="11"/>
      <c r="D3" s="14" t="s">
        <v>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</row>
    <row r="4" ht="98" customHeight="1" spans="1:16">
      <c r="A4" s="17" t="s">
        <v>2</v>
      </c>
      <c r="B4" s="18"/>
      <c r="C4" s="19"/>
      <c r="D4" s="20" t="s">
        <v>3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1"/>
    </row>
    <row r="5" ht="130" customHeight="1" spans="1:16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4"/>
    </row>
    <row r="6" ht="80" customHeight="1" spans="1:16">
      <c r="A6" s="25" t="s">
        <v>5</v>
      </c>
      <c r="B6" s="26" t="s">
        <v>6</v>
      </c>
      <c r="C6" s="27" t="s">
        <v>7</v>
      </c>
      <c r="D6" s="27" t="s">
        <v>8</v>
      </c>
      <c r="E6" s="27" t="s">
        <v>9</v>
      </c>
      <c r="F6" s="27" t="s">
        <v>10</v>
      </c>
      <c r="G6" s="27" t="s">
        <v>11</v>
      </c>
      <c r="H6" s="27" t="s">
        <v>12</v>
      </c>
      <c r="I6" s="27" t="s">
        <v>13</v>
      </c>
      <c r="J6" s="27" t="s">
        <v>8</v>
      </c>
      <c r="K6" s="27" t="s">
        <v>9</v>
      </c>
      <c r="L6" s="27" t="s">
        <v>14</v>
      </c>
      <c r="M6" s="27" t="s">
        <v>15</v>
      </c>
      <c r="N6" s="27" t="s">
        <v>16</v>
      </c>
      <c r="O6" s="28" t="s">
        <v>17</v>
      </c>
      <c r="P6" s="29"/>
    </row>
    <row r="7" ht="80" customHeight="1" spans="1:16">
      <c r="A7" s="30" t="s">
        <v>18</v>
      </c>
      <c r="B7" s="31" t="s">
        <v>19</v>
      </c>
      <c r="C7" s="31" t="s">
        <v>20</v>
      </c>
      <c r="D7" s="31" t="s">
        <v>21</v>
      </c>
      <c r="E7" s="31" t="s">
        <v>22</v>
      </c>
      <c r="F7" s="31" t="s">
        <v>23</v>
      </c>
      <c r="G7" s="31" t="s">
        <v>24</v>
      </c>
      <c r="H7" s="31" t="s">
        <v>25</v>
      </c>
      <c r="I7" s="31" t="s">
        <v>26</v>
      </c>
      <c r="J7" s="31" t="s">
        <v>21</v>
      </c>
      <c r="K7" s="31" t="s">
        <v>22</v>
      </c>
      <c r="L7" s="31" t="s">
        <v>27</v>
      </c>
      <c r="M7" s="31" t="s">
        <v>28</v>
      </c>
      <c r="N7" s="31" t="s">
        <v>29</v>
      </c>
      <c r="O7" s="32" t="s">
        <v>30</v>
      </c>
    </row>
    <row r="8" ht="80" customHeight="1" spans="1:16">
      <c r="A8" s="33">
        <v>1</v>
      </c>
      <c r="B8" s="34" t="s">
        <v>31</v>
      </c>
      <c r="C8" s="34">
        <v>150</v>
      </c>
      <c r="D8" s="34" t="s">
        <v>32</v>
      </c>
      <c r="E8" s="34">
        <v>7</v>
      </c>
      <c r="F8" s="35">
        <v>8020010044</v>
      </c>
      <c r="G8" s="36" t="str">
        <f>VLOOKUP(F8,'[1]国标管件 1'!$C:$I,2,FALSE)</f>
        <v>建筑排水用PVC-U管(A)白色 dn160 4M</v>
      </c>
      <c r="H8" s="36" t="str">
        <f>VLOOKUP(F8,'[1]国标管件 1'!$C:$I,3,FALSE)</f>
        <v>PVC-U Drain Pipe(A) dn160 4M - LESSO</v>
      </c>
      <c r="I8" s="34" t="s">
        <v>33</v>
      </c>
      <c r="J8" s="34" t="s">
        <v>34</v>
      </c>
      <c r="K8" s="34">
        <f>E8</f>
        <v>7</v>
      </c>
      <c r="L8" s="34" t="s">
        <v>35</v>
      </c>
      <c r="M8" s="37">
        <f>VLOOKUP(F8,'[1]国标管件 1'!$C:$I,7,FALSE)</f>
        <v>292456</v>
      </c>
      <c r="N8" s="37">
        <f t="shared" ref="N8:N14" si="0">M8*K8</f>
        <v>2047192</v>
      </c>
      <c r="O8" s="38" t="s">
        <v>36</v>
      </c>
    </row>
    <row r="9" ht="80" customHeight="1" spans="1:16">
      <c r="A9" s="33">
        <v>2</v>
      </c>
      <c r="B9" s="34" t="s">
        <v>31</v>
      </c>
      <c r="C9" s="34" t="s">
        <v>37</v>
      </c>
      <c r="D9" s="34" t="s">
        <v>38</v>
      </c>
      <c r="E9" s="34">
        <v>6</v>
      </c>
      <c r="F9" s="35">
        <v>8020020748</v>
      </c>
      <c r="G9" s="36" t="str">
        <f>VLOOKUP(F9,'[1]国标管件 1'!$C:$I,2,FALSE)</f>
        <v>直通(管)PVC-U排水配件白色dn160</v>
      </c>
      <c r="H9" s="36" t="str">
        <f>VLOOKUP(F9,'[1]国标管件 1'!$C:$I,3,FALSE)</f>
        <v>Straight-through (Pipe Clamp) PVC-U drainage fitting white dn160 - LESSO</v>
      </c>
      <c r="I9" s="34" t="s">
        <v>33</v>
      </c>
      <c r="J9" s="34" t="str">
        <f>D9</f>
        <v>个</v>
      </c>
      <c r="K9" s="34">
        <f>E9</f>
        <v>6</v>
      </c>
      <c r="L9" s="34" t="s">
        <v>35</v>
      </c>
      <c r="M9" s="37">
        <f>VLOOKUP(F9,'[1]国标管件 1'!$C:$I,7,FALSE)</f>
        <v>20062</v>
      </c>
      <c r="N9" s="37">
        <f t="shared" si="0"/>
        <v>120372</v>
      </c>
      <c r="O9" s="38" t="s">
        <v>36</v>
      </c>
    </row>
    <row r="10" ht="80" customHeight="1" spans="1:16">
      <c r="A10" s="33">
        <v>3</v>
      </c>
      <c r="B10" s="34" t="s">
        <v>31</v>
      </c>
      <c r="C10" s="34" t="s">
        <v>39</v>
      </c>
      <c r="D10" s="34" t="s">
        <v>38</v>
      </c>
      <c r="E10" s="34">
        <v>1</v>
      </c>
      <c r="F10" s="35">
        <v>8020020337</v>
      </c>
      <c r="G10" s="36" t="str">
        <f>VLOOKUP(F10,'[1]国标管件 1'!$C:$I,2,FALSE)</f>
        <v>90°顺水三通(等径三通)PVC-U排水配件白色 dn160</v>
      </c>
      <c r="H10" s="36" t="str">
        <f>VLOOKUP(F10,'[1]国标管件 1'!$C:$I,3,FALSE)</f>
        <v>dn160 Sanitary tee(PVC-U DF)</v>
      </c>
      <c r="I10" s="34" t="s">
        <v>33</v>
      </c>
      <c r="J10" s="34" t="s">
        <v>38</v>
      </c>
      <c r="K10" s="34">
        <v>1</v>
      </c>
      <c r="L10" s="34" t="s">
        <v>35</v>
      </c>
      <c r="M10" s="37">
        <f>VLOOKUP(F10,'[1]国标管件 1'!$C:$I,7,FALSE)</f>
        <v>64044</v>
      </c>
      <c r="N10" s="37">
        <f t="shared" si="0"/>
        <v>64044</v>
      </c>
      <c r="O10" s="38" t="s">
        <v>36</v>
      </c>
    </row>
    <row r="11" ht="80" customHeight="1" spans="1:16">
      <c r="A11" s="33">
        <v>4</v>
      </c>
      <c r="B11" s="34" t="s">
        <v>31</v>
      </c>
      <c r="C11" s="34" t="s">
        <v>40</v>
      </c>
      <c r="D11" s="34" t="s">
        <v>38</v>
      </c>
      <c r="E11" s="34">
        <v>3</v>
      </c>
      <c r="F11" s="35">
        <v>8020020592</v>
      </c>
      <c r="G11" s="36" t="str">
        <f>VLOOKUP(F11,'[1]国标管件 1'!$C:$I,2,FALSE)</f>
        <v>90°直角弯头PVC-U排水配件白色 dn160</v>
      </c>
      <c r="H11" s="36"/>
      <c r="I11" s="34" t="s">
        <v>33</v>
      </c>
      <c r="J11" s="34" t="str">
        <f>D11</f>
        <v>个</v>
      </c>
      <c r="K11" s="34">
        <f>E11</f>
        <v>3</v>
      </c>
      <c r="L11" s="34" t="s">
        <v>35</v>
      </c>
      <c r="M11" s="37">
        <f>VLOOKUP(F11,'[1]国标管件 1'!$C:$I,7,FALSE)</f>
        <v>42570</v>
      </c>
      <c r="N11" s="37">
        <f t="shared" si="0"/>
        <v>127710</v>
      </c>
      <c r="O11" s="38" t="s">
        <v>36</v>
      </c>
    </row>
    <row r="12" ht="80" customHeight="1" spans="1:16">
      <c r="A12" s="33">
        <v>5</v>
      </c>
      <c r="B12" s="34" t="s">
        <v>31</v>
      </c>
      <c r="C12" s="34" t="s">
        <v>41</v>
      </c>
      <c r="D12" s="34" t="s">
        <v>38</v>
      </c>
      <c r="E12" s="34">
        <v>8</v>
      </c>
      <c r="F12" s="35">
        <v>8020020558</v>
      </c>
      <c r="G12" s="36" t="str">
        <f>VLOOKUP(F12,'[1]国标管件 1'!$C:$I,2,FALSE)</f>
        <v>45°弯头PVC-U排水配件白色 dn160</v>
      </c>
      <c r="H12" s="36" t="str">
        <f>VLOOKUP(F12,'[1]国标管件 1'!$C:$I,3,FALSE)</f>
        <v>45° Elbow (PVC-U DF) dn160 - LESSO</v>
      </c>
      <c r="I12" s="34" t="s">
        <v>33</v>
      </c>
      <c r="J12" s="34" t="str">
        <f>D12</f>
        <v>个</v>
      </c>
      <c r="K12" s="34">
        <f>E12</f>
        <v>8</v>
      </c>
      <c r="L12" s="34" t="s">
        <v>35</v>
      </c>
      <c r="M12" s="37">
        <f>VLOOKUP(F12,'[1]国标管件 1'!$C:$I,7,FALSE)</f>
        <v>32477</v>
      </c>
      <c r="N12" s="37">
        <f t="shared" si="0"/>
        <v>259816</v>
      </c>
      <c r="O12" s="38" t="s">
        <v>36</v>
      </c>
    </row>
    <row r="13" ht="80" customHeight="1" spans="1:16">
      <c r="A13" s="33">
        <v>6</v>
      </c>
      <c r="B13" s="34" t="s">
        <v>31</v>
      </c>
      <c r="C13" s="34" t="s">
        <v>42</v>
      </c>
      <c r="D13" s="34" t="s">
        <v>38</v>
      </c>
      <c r="E13" s="34">
        <v>11</v>
      </c>
      <c r="F13" s="39">
        <v>8020020182</v>
      </c>
      <c r="G13" s="36" t="str">
        <f>VLOOKUP(F13,'[1]国标管件 1'!$C:$I,2,FALSE)</f>
        <v>PVC管卡(配尖咀螺丝)PVC-U排水配件白色 dn160</v>
      </c>
      <c r="H13" s="36" t="str">
        <f>VLOOKUP(F13,'[1]国标管件 1'!$C:$I,3,FALSE)</f>
        <v>dn160 PVC pipe clamp(TS PVC-U DF)</v>
      </c>
      <c r="I13" s="34" t="str">
        <f>_xlfn.DISPIMG("ID_678C06D8FD2743858F179D7FABF1A445",1)</f>
        <v>=DISPIMG("ID_678C06D8FD2743858F179D7FABF1A445",1)</v>
      </c>
      <c r="J13" s="34" t="str">
        <f>D13</f>
        <v>个</v>
      </c>
      <c r="K13" s="34">
        <f>E13</f>
        <v>11</v>
      </c>
      <c r="L13" s="34" t="s">
        <v>35</v>
      </c>
      <c r="M13" s="37">
        <f>VLOOKUP(F13,'[1]国标管件 1'!$C:$I,7,FALSE)</f>
        <v>11114</v>
      </c>
      <c r="N13" s="37">
        <f t="shared" si="0"/>
        <v>122254</v>
      </c>
      <c r="O13" s="38" t="s">
        <v>36</v>
      </c>
    </row>
    <row r="14" ht="80" customHeight="1" spans="1:16">
      <c r="A14" s="33">
        <v>7</v>
      </c>
      <c r="B14" s="34" t="s">
        <v>31</v>
      </c>
      <c r="C14" s="36" t="s">
        <v>43</v>
      </c>
      <c r="D14" s="34" t="s">
        <v>38</v>
      </c>
      <c r="E14" s="34">
        <v>1</v>
      </c>
      <c r="F14" s="35">
        <v>8020020049</v>
      </c>
      <c r="G14" s="36" t="str">
        <f>VLOOKUP(F14,'[1]国标管件 1'!$C:$I,2,FALSE)</f>
        <v>大小头PVC-U排水配件白色 dn160×110</v>
      </c>
      <c r="H14" s="36" t="str">
        <f>VLOOKUP(F14,'[1]国标管件 1'!$C:$I,3,FALSE)</f>
        <v>dn160X110 Reducing bushing(PVC-U DF) -LESSO</v>
      </c>
      <c r="I14" s="34" t="str">
        <f>_xlfn.DISPIMG("ID_A0F5DF1EE69948DCA8060B0199DDAFC2",1)</f>
        <v>=DISPIMG("ID_A0F5DF1EE69948DCA8060B0199DDAFC2",1)</v>
      </c>
      <c r="J14" s="34" t="str">
        <f>D14</f>
        <v>个</v>
      </c>
      <c r="K14" s="34">
        <f>E14</f>
        <v>1</v>
      </c>
      <c r="L14" s="34" t="s">
        <v>35</v>
      </c>
      <c r="M14" s="37">
        <f>VLOOKUP(F14,'[1]国标管件 1'!$C:$I,7,FALSE)</f>
        <v>15437</v>
      </c>
      <c r="N14" s="37">
        <f t="shared" si="0"/>
        <v>15437</v>
      </c>
      <c r="O14" s="38" t="s">
        <v>36</v>
      </c>
    </row>
    <row r="15" ht="80" customHeight="1" spans="1:16">
      <c r="A15" s="33">
        <v>8</v>
      </c>
      <c r="B15" s="34" t="s">
        <v>31</v>
      </c>
      <c r="C15" s="34">
        <v>110</v>
      </c>
      <c r="D15" s="34" t="s">
        <v>32</v>
      </c>
      <c r="E15" s="34">
        <v>5</v>
      </c>
      <c r="F15" s="35">
        <v>8020010018</v>
      </c>
      <c r="G15" s="36" t="str">
        <f>VLOOKUP(F15,'[1]国标管件 1'!$C:$I,2,FALSE)</f>
        <v>建筑排水用PVC-U管(A)白色 dn110 4M</v>
      </c>
      <c r="H15" s="36" t="str">
        <f>VLOOKUP(F15,'[1]国标管件 1'!$C:$I,3,FALSE)</f>
        <v>PVC-U Drain Pipe (A) 4M dn110 - LESSO</v>
      </c>
      <c r="I15" s="34" t="s">
        <v>44</v>
      </c>
      <c r="J15" s="34" t="s">
        <v>34</v>
      </c>
      <c r="K15" s="34">
        <f t="shared" ref="K15:K45" si="1">E15</f>
        <v>5</v>
      </c>
      <c r="L15" s="34" t="s">
        <v>35</v>
      </c>
      <c r="M15" s="37">
        <f>VLOOKUP(F15,'[1]国标管件 1'!$C:$I,7,FALSE)</f>
        <v>159042</v>
      </c>
      <c r="N15" s="37">
        <f t="shared" ref="N15:N31" si="2">M15*K15</f>
        <v>795210</v>
      </c>
      <c r="O15" s="38" t="s">
        <v>36</v>
      </c>
    </row>
    <row r="16" s="1" customFormat="1" ht="80" customHeight="1" spans="1:16">
      <c r="A16" s="33">
        <v>9</v>
      </c>
      <c r="B16" s="40" t="s">
        <v>31</v>
      </c>
      <c r="C16" s="41" t="s">
        <v>45</v>
      </c>
      <c r="D16" s="41" t="s">
        <v>38</v>
      </c>
      <c r="E16" s="42">
        <v>10</v>
      </c>
      <c r="F16" s="35">
        <v>8020020240</v>
      </c>
      <c r="G16" s="36" t="str">
        <f>VLOOKUP(F16,'[1]国标管件 1'!$C:$I,2,FALSE)</f>
        <v>P型存水弯(带检查口)PVC-U排水配件白色 dn110</v>
      </c>
      <c r="H16" s="36" t="str">
        <f>VLOOKUP(F16,'[1]国标管件 1'!$C:$I,3,FALSE)</f>
        <v>dn110 P Trap with cleanout(PVC-U DF) -LESSO</v>
      </c>
      <c r="I16" s="42" t="str">
        <f>_xlfn.DISPIMG("ID_5324B4CA577F40F79D0854AE95EAC2B3",1)</f>
        <v>=DISPIMG("ID_5324B4CA577F40F79D0854AE95EAC2B3",1)</v>
      </c>
      <c r="J16" s="34" t="str">
        <f>D16</f>
        <v>个</v>
      </c>
      <c r="K16" s="34">
        <f t="shared" si="1"/>
        <v>10</v>
      </c>
      <c r="L16" s="34" t="s">
        <v>35</v>
      </c>
      <c r="M16" s="37">
        <f>VLOOKUP(F16,'[1]国标管件 1'!$C:$I,7,FALSE)</f>
        <v>59845</v>
      </c>
      <c r="N16" s="37">
        <f t="shared" si="2"/>
        <v>598450</v>
      </c>
      <c r="O16" s="38" t="s">
        <v>36</v>
      </c>
    </row>
    <row r="17" s="1" customFormat="1" ht="80" customHeight="1" spans="1:15">
      <c r="A17" s="33">
        <v>10</v>
      </c>
      <c r="B17" s="40" t="s">
        <v>31</v>
      </c>
      <c r="C17" s="41" t="s">
        <v>46</v>
      </c>
      <c r="D17" s="41" t="s">
        <v>38</v>
      </c>
      <c r="E17" s="42">
        <v>7</v>
      </c>
      <c r="F17" s="43">
        <v>8020020405</v>
      </c>
      <c r="G17" s="36" t="str">
        <f>VLOOKUP(F17,'[1]国标管件 1'!$C:$I,2,FALSE)</f>
        <v>45°斜三通PVC-U排水配件白色 dn110</v>
      </c>
      <c r="H17" s="36" t="str">
        <f>VLOOKUP(F17,'[1]国标管件 1'!$C:$I,3,FALSE)</f>
        <v>dn110 Wye(PVC-U DF) - LESSO</v>
      </c>
      <c r="I17" s="34" t="s">
        <v>44</v>
      </c>
      <c r="J17" s="34" t="str">
        <f t="shared" ref="J17:J23" si="3">D17</f>
        <v>个</v>
      </c>
      <c r="K17" s="34">
        <f t="shared" si="1"/>
        <v>7</v>
      </c>
      <c r="L17" s="34" t="s">
        <v>35</v>
      </c>
      <c r="M17" s="37">
        <f>VLOOKUP(F17,'[1]国标管件 1'!$C:$I,7,FALSE)</f>
        <v>34302</v>
      </c>
      <c r="N17" s="37">
        <f t="shared" si="2"/>
        <v>240114</v>
      </c>
      <c r="O17" s="38" t="s">
        <v>36</v>
      </c>
    </row>
    <row r="18" s="1" customFormat="1" ht="80" customHeight="1" spans="1:15">
      <c r="A18" s="33">
        <v>11</v>
      </c>
      <c r="B18" s="40" t="s">
        <v>31</v>
      </c>
      <c r="C18" s="41" t="s">
        <v>47</v>
      </c>
      <c r="D18" s="41" t="s">
        <v>38</v>
      </c>
      <c r="E18" s="42">
        <v>8</v>
      </c>
      <c r="F18" s="35">
        <v>8020020349</v>
      </c>
      <c r="G18" s="36" t="str">
        <f>VLOOKUP(F18,'[1]国标管件 1'!$C:$I,2,FALSE)</f>
        <v>90°顺水三通(等径三通)PVC-U排水配件白色 dn110</v>
      </c>
      <c r="H18" s="36" t="str">
        <f>VLOOKUP(F18,'[1]国标管件 1'!$C:$I,3,FALSE)</f>
        <v>dn110 Sanitary tee(PVC-U DF) -LESSO</v>
      </c>
      <c r="I18" s="34" t="s">
        <v>44</v>
      </c>
      <c r="J18" s="34" t="str">
        <f t="shared" si="3"/>
        <v>个</v>
      </c>
      <c r="K18" s="34">
        <f t="shared" si="1"/>
        <v>8</v>
      </c>
      <c r="L18" s="34" t="s">
        <v>35</v>
      </c>
      <c r="M18" s="37">
        <f>VLOOKUP(F18,'[1]国标管件 1'!$C:$I,7,FALSE)</f>
        <v>26274</v>
      </c>
      <c r="N18" s="37">
        <f t="shared" si="2"/>
        <v>210192</v>
      </c>
      <c r="O18" s="38" t="s">
        <v>36</v>
      </c>
    </row>
    <row r="19" s="1" customFormat="1" ht="80" customHeight="1" spans="1:15">
      <c r="A19" s="33">
        <v>12</v>
      </c>
      <c r="B19" s="40" t="s">
        <v>31</v>
      </c>
      <c r="C19" s="41" t="s">
        <v>48</v>
      </c>
      <c r="D19" s="41" t="s">
        <v>38</v>
      </c>
      <c r="E19" s="41">
        <v>10</v>
      </c>
      <c r="F19" s="35" t="s">
        <v>49</v>
      </c>
      <c r="G19" s="36"/>
      <c r="H19" s="36"/>
      <c r="I19" s="34"/>
      <c r="J19" s="34"/>
      <c r="K19" s="34"/>
      <c r="L19" s="34"/>
      <c r="M19" s="37"/>
      <c r="N19" s="37"/>
      <c r="O19" s="38"/>
    </row>
    <row r="20" s="1" customFormat="1" ht="80" customHeight="1" spans="1:15">
      <c r="A20" s="33">
        <v>13</v>
      </c>
      <c r="B20" s="40" t="s">
        <v>31</v>
      </c>
      <c r="C20" s="41" t="s">
        <v>40</v>
      </c>
      <c r="D20" s="41" t="s">
        <v>38</v>
      </c>
      <c r="E20" s="41">
        <v>8</v>
      </c>
      <c r="F20" s="35">
        <v>8020020588</v>
      </c>
      <c r="G20" s="36" t="str">
        <f>VLOOKUP(F20,'[1]国标管件 1'!$C:$I,2,FALSE)</f>
        <v>90°直角弯头PVC-U排水配件白色 dn110</v>
      </c>
      <c r="H20" s="36" t="str">
        <f>VLOOKUP(F20,'[1]国标管件 1'!$C:$I,3,FALSE)</f>
        <v>elbow dia 90 110mm - LESSO</v>
      </c>
      <c r="I20" s="34" t="s">
        <v>44</v>
      </c>
      <c r="J20" s="34" t="str">
        <f t="shared" si="3"/>
        <v>个</v>
      </c>
      <c r="K20" s="34">
        <f t="shared" si="1"/>
        <v>8</v>
      </c>
      <c r="L20" s="34" t="s">
        <v>35</v>
      </c>
      <c r="M20" s="37">
        <f>VLOOKUP(F20,'[1]国标管件 1'!$C:$I,7,FALSE)</f>
        <v>19340</v>
      </c>
      <c r="N20" s="37">
        <f t="shared" si="2"/>
        <v>154720</v>
      </c>
      <c r="O20" s="38" t="s">
        <v>36</v>
      </c>
    </row>
    <row r="21" s="1" customFormat="1" ht="80" customHeight="1" spans="1:15">
      <c r="A21" s="33">
        <v>14</v>
      </c>
      <c r="B21" s="40" t="s">
        <v>31</v>
      </c>
      <c r="C21" s="41" t="s">
        <v>50</v>
      </c>
      <c r="D21" s="41" t="s">
        <v>38</v>
      </c>
      <c r="E21" s="41">
        <v>2</v>
      </c>
      <c r="F21" s="35">
        <v>8020020639</v>
      </c>
      <c r="G21" s="36" t="str">
        <f>VLOOKUP(F21,'[1]国标管件 1'!$C:$I,2,FALSE)</f>
        <v>90°弯头(带检查口)PVC-U排水配件白色 dn110</v>
      </c>
      <c r="H21" s="36" t="str">
        <f>VLOOKUP(F21,'[1]国标管件 1'!$C:$I,3,FALSE)</f>
        <v>dn110 90Elbow w/Co(PVC-U DF) -LESSO</v>
      </c>
      <c r="I21" s="34" t="str">
        <f>_xlfn.DISPIMG("ID_9B50CA48978940CE99789BC2AF98BF88",1)</f>
        <v>=DISPIMG("ID_9B50CA48978940CE99789BC2AF98BF88",1)</v>
      </c>
      <c r="J21" s="34" t="str">
        <f t="shared" si="3"/>
        <v>个</v>
      </c>
      <c r="K21" s="34">
        <f t="shared" si="1"/>
        <v>2</v>
      </c>
      <c r="L21" s="34" t="s">
        <v>35</v>
      </c>
      <c r="M21" s="37">
        <f>VLOOKUP(F21,'[1]国标管件 1'!$C:$I,7,FALSE)</f>
        <v>25180</v>
      </c>
      <c r="N21" s="37">
        <f t="shared" si="2"/>
        <v>50360</v>
      </c>
      <c r="O21" s="38" t="s">
        <v>36</v>
      </c>
    </row>
    <row r="22" s="1" customFormat="1" ht="80" customHeight="1" spans="1:15">
      <c r="A22" s="33">
        <v>15</v>
      </c>
      <c r="B22" s="40" t="s">
        <v>31</v>
      </c>
      <c r="C22" s="41" t="s">
        <v>41</v>
      </c>
      <c r="D22" s="41" t="s">
        <v>38</v>
      </c>
      <c r="E22" s="42">
        <v>16</v>
      </c>
      <c r="F22" s="35">
        <v>8020020556</v>
      </c>
      <c r="G22" s="36" t="str">
        <f>VLOOKUP(F22,'[1]国标管件 1'!$C:$I,2,FALSE)</f>
        <v>45°弯头PVC-U排水配件白色 dn110</v>
      </c>
      <c r="H22" s="36" t="str">
        <f>VLOOKUP(F22,'[1]国标管件 1'!$C:$I,3,FALSE)</f>
        <v>45° Elbow (PVC-U DF) dn110 - LESSO</v>
      </c>
      <c r="I22" s="34" t="s">
        <v>44</v>
      </c>
      <c r="J22" s="34" t="str">
        <f t="shared" si="3"/>
        <v>个</v>
      </c>
      <c r="K22" s="34">
        <f t="shared" si="1"/>
        <v>16</v>
      </c>
      <c r="L22" s="34" t="s">
        <v>35</v>
      </c>
      <c r="M22" s="37">
        <f>VLOOKUP(F22,'[1]国标管件 1'!$C:$I,7,FALSE)</f>
        <v>14562</v>
      </c>
      <c r="N22" s="37">
        <f t="shared" si="2"/>
        <v>232992</v>
      </c>
      <c r="O22" s="38" t="s">
        <v>36</v>
      </c>
    </row>
    <row r="23" s="1" customFormat="1" ht="80" customHeight="1" spans="1:15">
      <c r="A23" s="33">
        <v>16</v>
      </c>
      <c r="B23" s="34" t="s">
        <v>31</v>
      </c>
      <c r="C23" s="36" t="s">
        <v>51</v>
      </c>
      <c r="D23" s="34" t="s">
        <v>38</v>
      </c>
      <c r="E23" s="34">
        <v>10</v>
      </c>
      <c r="F23" s="35">
        <v>8020020430</v>
      </c>
      <c r="G23" s="36" t="s">
        <v>52</v>
      </c>
      <c r="H23" s="36" t="str">
        <f>VLOOKUP(F23,'[1]国标管件 1'!$C:$I,3,FALSE)</f>
        <v>Reducing Tee Drainage PVC-U dn110×50 - LESSO</v>
      </c>
      <c r="I23" s="34" t="s">
        <v>53</v>
      </c>
      <c r="J23" s="34" t="s">
        <v>38</v>
      </c>
      <c r="K23" s="34">
        <f t="shared" si="1"/>
        <v>10</v>
      </c>
      <c r="L23" s="34" t="s">
        <v>35</v>
      </c>
      <c r="M23" s="37">
        <f>VLOOKUP(F23,'[1]国标管件 1'!$C:$I,7,FALSE)</f>
        <v>16142</v>
      </c>
      <c r="N23" s="37">
        <f t="shared" si="2"/>
        <v>161420</v>
      </c>
      <c r="O23" s="38" t="s">
        <v>36</v>
      </c>
    </row>
    <row r="24" s="1" customFormat="1" ht="80" customHeight="1" spans="1:15">
      <c r="A24" s="33">
        <v>17</v>
      </c>
      <c r="B24" s="34" t="s">
        <v>31</v>
      </c>
      <c r="C24" s="36" t="s">
        <v>54</v>
      </c>
      <c r="D24" s="34" t="s">
        <v>38</v>
      </c>
      <c r="E24" s="34">
        <v>10</v>
      </c>
      <c r="F24" s="35">
        <v>8020020047</v>
      </c>
      <c r="G24" s="36" t="s">
        <v>55</v>
      </c>
      <c r="H24" s="36" t="str">
        <f>VLOOKUP(F24,'[1]国标管件 1'!$C:$I,3,FALSE)</f>
        <v>Reducer 110mm x 50mm - LESSO</v>
      </c>
      <c r="I24" s="34" t="s">
        <v>53</v>
      </c>
      <c r="J24" s="34" t="s">
        <v>38</v>
      </c>
      <c r="K24" s="34">
        <f t="shared" si="1"/>
        <v>10</v>
      </c>
      <c r="L24" s="34" t="s">
        <v>35</v>
      </c>
      <c r="M24" s="37">
        <f>VLOOKUP(F24,'[1]国标管件 1'!$C:$I,7,FALSE)</f>
        <v>6277</v>
      </c>
      <c r="N24" s="37">
        <f t="shared" si="2"/>
        <v>62770</v>
      </c>
      <c r="O24" s="38" t="s">
        <v>36</v>
      </c>
    </row>
    <row r="25" s="1" customFormat="1" ht="80" customHeight="1" spans="1:15">
      <c r="A25" s="33">
        <v>18</v>
      </c>
      <c r="B25" s="34" t="s">
        <v>31</v>
      </c>
      <c r="C25" s="36" t="s">
        <v>56</v>
      </c>
      <c r="D25" s="34" t="s">
        <v>38</v>
      </c>
      <c r="E25" s="34">
        <v>10</v>
      </c>
      <c r="F25" s="35">
        <v>8020020343</v>
      </c>
      <c r="G25" s="36" t="s">
        <v>57</v>
      </c>
      <c r="H25" s="36" t="str">
        <f>VLOOKUP(F25,'[1]国标管件 1'!$C:$I,3,FALSE)</f>
        <v>dn50 Sanitary tee(PVC-U DF) -LESSO</v>
      </c>
      <c r="I25" s="34" t="s">
        <v>58</v>
      </c>
      <c r="J25" s="34" t="s">
        <v>38</v>
      </c>
      <c r="K25" s="34">
        <f t="shared" si="1"/>
        <v>10</v>
      </c>
      <c r="L25" s="34" t="s">
        <v>35</v>
      </c>
      <c r="M25" s="37">
        <f>VLOOKUP(F25,'[1]国标管件 1'!$C:$I,7,FALSE)</f>
        <v>3905</v>
      </c>
      <c r="N25" s="37">
        <f t="shared" si="2"/>
        <v>39050</v>
      </c>
      <c r="O25" s="38" t="s">
        <v>36</v>
      </c>
    </row>
    <row r="26" s="1" customFormat="1" ht="80" customHeight="1" spans="1:15">
      <c r="A26" s="33">
        <v>19</v>
      </c>
      <c r="B26" s="40" t="s">
        <v>31</v>
      </c>
      <c r="C26" s="41" t="s">
        <v>59</v>
      </c>
      <c r="D26" s="41" t="s">
        <v>38</v>
      </c>
      <c r="E26" s="42">
        <v>20</v>
      </c>
      <c r="F26" s="41">
        <v>8020020186</v>
      </c>
      <c r="G26" s="36" t="str">
        <f>VLOOKUP(F26,'[1]国标管件 1'!$C:$I,2,FALSE)</f>
        <v>Ⅲ型管卡PVC-U排水配件白色 dn110</v>
      </c>
      <c r="H26" s="36" t="str">
        <f>VLOOKUP(F26,'[1]国标管件 1'!$C:$I,3,FALSE)</f>
        <v>dn110 Pipe clamp(T|PVC-U DF) -LESSO</v>
      </c>
      <c r="I26" s="42" t="str">
        <f>_xlfn.DISPIMG("ID_A795FFADFCFE45248E1BDD65B948AE2F",1)</f>
        <v>=DISPIMG("ID_A795FFADFCFE45248E1BDD65B948AE2F",1)</v>
      </c>
      <c r="J26" s="34" t="str">
        <f>D26</f>
        <v>个</v>
      </c>
      <c r="K26" s="34">
        <f t="shared" si="1"/>
        <v>20</v>
      </c>
      <c r="L26" s="34" t="s">
        <v>35</v>
      </c>
      <c r="M26" s="37">
        <f>VLOOKUP(F26,'[1]国标管件 1'!$C:$I,7,FALSE)</f>
        <v>8722</v>
      </c>
      <c r="N26" s="37">
        <f t="shared" si="2"/>
        <v>174440</v>
      </c>
      <c r="O26" s="38" t="s">
        <v>36</v>
      </c>
    </row>
    <row r="27" s="1" customFormat="1" ht="80" customHeight="1" spans="1:15">
      <c r="A27" s="33">
        <v>20</v>
      </c>
      <c r="B27" s="40" t="s">
        <v>31</v>
      </c>
      <c r="C27" s="41" t="s">
        <v>60</v>
      </c>
      <c r="D27" s="41" t="s">
        <v>38</v>
      </c>
      <c r="E27" s="41">
        <v>6</v>
      </c>
      <c r="F27" s="35">
        <v>8020020756</v>
      </c>
      <c r="G27" s="36" t="str">
        <f>VLOOKUP(F27,'[1]国标管件 1'!$C:$I,2,FALSE)</f>
        <v>直通(管)PVC-U排水配件白色dn75</v>
      </c>
      <c r="H27" s="36" t="str">
        <f>VLOOKUP(F27,'[1]国标管件 1'!$C:$I,3,FALSE)</f>
        <v>Coupling PVC-U Drainage Fittings White dn75 - LESSO</v>
      </c>
      <c r="I27" s="41" t="s">
        <v>61</v>
      </c>
      <c r="J27" s="34" t="str">
        <f>D27</f>
        <v>个</v>
      </c>
      <c r="K27" s="34">
        <f t="shared" si="1"/>
        <v>6</v>
      </c>
      <c r="L27" s="34" t="s">
        <v>35</v>
      </c>
      <c r="M27" s="37">
        <f>VLOOKUP(F27,'[1]国标管件 1'!$C:$I,7,FALSE)</f>
        <v>4200</v>
      </c>
      <c r="N27" s="37">
        <f t="shared" si="2"/>
        <v>25200</v>
      </c>
      <c r="O27" s="38" t="s">
        <v>36</v>
      </c>
    </row>
    <row r="28" s="1" customFormat="1" ht="80" customHeight="1" spans="1:15">
      <c r="A28" s="33">
        <v>21</v>
      </c>
      <c r="B28" s="40" t="s">
        <v>31</v>
      </c>
      <c r="C28" s="41">
        <v>50</v>
      </c>
      <c r="D28" s="41" t="s">
        <v>32</v>
      </c>
      <c r="E28" s="42">
        <v>6</v>
      </c>
      <c r="F28" s="35">
        <v>8020010109</v>
      </c>
      <c r="G28" s="36" t="str">
        <f>VLOOKUP(F28,'[1]国标管件 1'!$C:$I,2,FALSE)</f>
        <v>建筑排水用PVC-U管(A)白色 dn50 4M</v>
      </c>
      <c r="H28" s="36" t="str">
        <f>VLOOKUP(F28,'[1]国标管件 1'!$C:$I,3,FALSE)</f>
        <v>Drain Pipe PVC-U (A) dn50 4M - LESSO</v>
      </c>
      <c r="I28" s="41" t="s">
        <v>58</v>
      </c>
      <c r="J28" s="34" t="s">
        <v>34</v>
      </c>
      <c r="K28" s="34">
        <f t="shared" si="1"/>
        <v>6</v>
      </c>
      <c r="L28" s="34" t="s">
        <v>35</v>
      </c>
      <c r="M28" s="37">
        <f>VLOOKUP(F28,'[1]国标管件 1'!$C:$I,7,FALSE)</f>
        <v>46875</v>
      </c>
      <c r="N28" s="37">
        <f t="shared" si="2"/>
        <v>281250</v>
      </c>
      <c r="O28" s="38" t="s">
        <v>36</v>
      </c>
    </row>
    <row r="29" s="1" customFormat="1" ht="80" customHeight="1" spans="1:15">
      <c r="A29" s="33">
        <v>22</v>
      </c>
      <c r="B29" s="40" t="s">
        <v>31</v>
      </c>
      <c r="C29" s="41" t="s">
        <v>62</v>
      </c>
      <c r="D29" s="41" t="s">
        <v>38</v>
      </c>
      <c r="E29" s="42">
        <v>15</v>
      </c>
      <c r="F29" s="35">
        <v>8020020266</v>
      </c>
      <c r="G29" s="36" t="str">
        <f>VLOOKUP(F29,'[1]国标管件 1'!$C:$I,2,FALSE)</f>
        <v>存水弯(带检查口)PVC-U排水配件白色 dn50</v>
      </c>
      <c r="H29" s="36" t="str">
        <f>VLOOKUP(F29,'[1]国标管件 1'!$C:$I,3,FALSE)</f>
        <v>Trap With Cleanout (PVC-U DF) dn50 - LESSO</v>
      </c>
      <c r="I29" s="42" t="str">
        <f>_xlfn.DISPIMG("ID_9BBD092970FF48ABAA27E100FD34BE68",1)</f>
        <v>=DISPIMG("ID_9BBD092970FF48ABAA27E100FD34BE68",1)</v>
      </c>
      <c r="J29" s="34" t="str">
        <f>D29</f>
        <v>个</v>
      </c>
      <c r="K29" s="34">
        <f t="shared" si="1"/>
        <v>15</v>
      </c>
      <c r="L29" s="34" t="s">
        <v>35</v>
      </c>
      <c r="M29" s="37">
        <f>VLOOKUP(F29,'[1]国标管件 1'!$C:$I,7,FALSE)</f>
        <v>4717</v>
      </c>
      <c r="N29" s="37">
        <f t="shared" si="2"/>
        <v>70755</v>
      </c>
      <c r="O29" s="38" t="s">
        <v>36</v>
      </c>
    </row>
    <row r="30" s="1" customFormat="1" ht="80" customHeight="1" spans="1:15">
      <c r="A30" s="33">
        <v>23</v>
      </c>
      <c r="B30" s="40" t="s">
        <v>31</v>
      </c>
      <c r="C30" s="41" t="s">
        <v>63</v>
      </c>
      <c r="D30" s="41" t="s">
        <v>38</v>
      </c>
      <c r="E30" s="41">
        <v>5</v>
      </c>
      <c r="F30" s="35">
        <v>8020020410</v>
      </c>
      <c r="G30" s="36" t="str">
        <f>VLOOKUP(F30,'[1]国标管件 1'!$C:$I,2,FALSE)</f>
        <v>45°斜三通PVC-U排水配件白色 dn50</v>
      </c>
      <c r="H30" s="36" t="str">
        <f>VLOOKUP(F30,'[1]国标管件 1'!$C:$I,3,FALSE)</f>
        <v>dn50 Wye(PVC-U DF) -LESSO</v>
      </c>
      <c r="I30" s="41" t="s">
        <v>58</v>
      </c>
      <c r="J30" s="34" t="str">
        <f t="shared" ref="J30:J35" si="4">D30</f>
        <v>个</v>
      </c>
      <c r="K30" s="34">
        <f t="shared" si="1"/>
        <v>5</v>
      </c>
      <c r="L30" s="34" t="s">
        <v>35</v>
      </c>
      <c r="M30" s="37">
        <f>VLOOKUP(F30,'[1]国标管件 1'!$C:$I,7,FALSE)</f>
        <v>5184</v>
      </c>
      <c r="N30" s="37">
        <f t="shared" si="2"/>
        <v>25920</v>
      </c>
      <c r="O30" s="38" t="s">
        <v>36</v>
      </c>
    </row>
    <row r="31" s="1" customFormat="1" ht="80" customHeight="1" spans="1:15">
      <c r="A31" s="33">
        <v>24</v>
      </c>
      <c r="B31" s="40" t="s">
        <v>31</v>
      </c>
      <c r="C31" s="41" t="s">
        <v>56</v>
      </c>
      <c r="D31" s="41" t="s">
        <v>38</v>
      </c>
      <c r="E31" s="42">
        <v>10</v>
      </c>
      <c r="F31" s="35">
        <v>8020020343</v>
      </c>
      <c r="G31" s="36" t="str">
        <f>VLOOKUP(F31,'[1]国标管件 1'!$C:$I,2,FALSE)</f>
        <v>90°顺水三通(等径三通)PVC-U排水配件白色 dn50</v>
      </c>
      <c r="H31" s="36" t="str">
        <f>VLOOKUP(F31,'[1]国标管件 1'!$C:$I,3,FALSE)</f>
        <v>dn50 Sanitary tee(PVC-U DF) -LESSO</v>
      </c>
      <c r="I31" s="41" t="s">
        <v>58</v>
      </c>
      <c r="J31" s="34" t="str">
        <f t="shared" si="4"/>
        <v>个</v>
      </c>
      <c r="K31" s="34">
        <f t="shared" si="1"/>
        <v>10</v>
      </c>
      <c r="L31" s="34" t="s">
        <v>35</v>
      </c>
      <c r="M31" s="37">
        <f>VLOOKUP(F31,'[1]国标管件 1'!$C:$I,7,FALSE)</f>
        <v>3905</v>
      </c>
      <c r="N31" s="37">
        <f t="shared" si="2"/>
        <v>39050</v>
      </c>
      <c r="O31" s="38" t="s">
        <v>36</v>
      </c>
    </row>
    <row r="32" s="1" customFormat="1" ht="80" customHeight="1" spans="1:15">
      <c r="A32" s="33">
        <v>25</v>
      </c>
      <c r="B32" s="40" t="s">
        <v>31</v>
      </c>
      <c r="C32" s="41" t="s">
        <v>64</v>
      </c>
      <c r="D32" s="41" t="s">
        <v>38</v>
      </c>
      <c r="E32" s="42">
        <v>10</v>
      </c>
      <c r="F32" s="35" t="s">
        <v>49</v>
      </c>
      <c r="G32" s="36"/>
      <c r="H32" s="36"/>
      <c r="I32" s="41"/>
      <c r="J32" s="34"/>
      <c r="K32" s="34"/>
      <c r="L32" s="34"/>
      <c r="M32" s="37"/>
      <c r="N32" s="37"/>
      <c r="O32" s="38"/>
    </row>
    <row r="33" s="1" customFormat="1" ht="80" customHeight="1" spans="1:15">
      <c r="A33" s="33">
        <v>26</v>
      </c>
      <c r="B33" s="40" t="s">
        <v>31</v>
      </c>
      <c r="C33" s="41" t="s">
        <v>40</v>
      </c>
      <c r="D33" s="41" t="s">
        <v>38</v>
      </c>
      <c r="E33" s="42">
        <v>10</v>
      </c>
      <c r="F33" s="35">
        <v>8020020597</v>
      </c>
      <c r="G33" s="36" t="str">
        <f>VLOOKUP(F33,'[1]国标管件 1'!$C:$I,2,FALSE)</f>
        <v>90°直角弯头PVC-U排水配件白色 dn50</v>
      </c>
      <c r="H33" s="36" t="str">
        <f>VLOOKUP(F33,'[1]国标管件 1'!$C:$I,3,FALSE)</f>
        <v>elbow dia 90 50mm - LESSO</v>
      </c>
      <c r="I33" s="41" t="s">
        <v>58</v>
      </c>
      <c r="J33" s="34" t="str">
        <f t="shared" si="4"/>
        <v>个</v>
      </c>
      <c r="K33" s="34">
        <f>E33</f>
        <v>10</v>
      </c>
      <c r="L33" s="34" t="s">
        <v>35</v>
      </c>
      <c r="M33" s="37">
        <f>VLOOKUP(F33,'[1]国标管件 1'!$C:$I,7,FALSE)</f>
        <v>3230</v>
      </c>
      <c r="N33" s="37">
        <f>M33*K33</f>
        <v>32300</v>
      </c>
      <c r="O33" s="38" t="s">
        <v>36</v>
      </c>
    </row>
    <row r="34" s="1" customFormat="1" ht="80" customHeight="1" spans="1:15">
      <c r="A34" s="33">
        <v>27</v>
      </c>
      <c r="B34" s="40" t="s">
        <v>31</v>
      </c>
      <c r="C34" s="41" t="s">
        <v>41</v>
      </c>
      <c r="D34" s="41" t="s">
        <v>38</v>
      </c>
      <c r="E34" s="42">
        <v>20</v>
      </c>
      <c r="F34" s="35">
        <v>8020020563</v>
      </c>
      <c r="G34" s="36" t="str">
        <f>VLOOKUP(F34,'[1]国标管件 1'!$C:$I,2,FALSE)</f>
        <v>45°弯头PVC-U排水配件白色 dn50</v>
      </c>
      <c r="H34" s="36" t="str">
        <f>VLOOKUP(F34,'[1]国标管件 1'!$C:$I,3,FALSE)</f>
        <v>45° Elbow (PVC-U DF) dn50 - LESSO</v>
      </c>
      <c r="I34" s="41" t="s">
        <v>58</v>
      </c>
      <c r="J34" s="34" t="str">
        <f t="shared" si="4"/>
        <v>个</v>
      </c>
      <c r="K34" s="34">
        <f>E34</f>
        <v>20</v>
      </c>
      <c r="L34" s="34" t="s">
        <v>35</v>
      </c>
      <c r="M34" s="37">
        <f>VLOOKUP(F34,'[1]国标管件 1'!$C:$I,7,FALSE)</f>
        <v>2159</v>
      </c>
      <c r="N34" s="37">
        <f>M34*K34</f>
        <v>43180</v>
      </c>
      <c r="O34" s="38" t="s">
        <v>36</v>
      </c>
    </row>
    <row r="35" s="1" customFormat="1" ht="80" customHeight="1" spans="1:15">
      <c r="A35" s="33">
        <v>28</v>
      </c>
      <c r="B35" s="40" t="s">
        <v>31</v>
      </c>
      <c r="C35" s="41" t="s">
        <v>59</v>
      </c>
      <c r="D35" s="41" t="s">
        <v>38</v>
      </c>
      <c r="E35" s="42">
        <v>16</v>
      </c>
      <c r="F35" s="35">
        <v>8020020187</v>
      </c>
      <c r="G35" s="36" t="str">
        <f>VLOOKUP(F35,'[1]国标管件 1'!$C:$I,2,FALSE)</f>
        <v>Ⅲ型管卡PVC-U排水配件白色 dn50</v>
      </c>
      <c r="H35" s="36" t="str">
        <f>VLOOKUP(F35,'[1]国标管件 1'!$C:$I,3,FALSE)</f>
        <v>dn50 Pipe clamp(T|PVC-U DF) -LESSO</v>
      </c>
      <c r="I35" s="42" t="str">
        <f>_xlfn.DISPIMG("ID_41FA737B82EC4BCB811485D56B043164",1)</f>
        <v>=DISPIMG("ID_41FA737B82EC4BCB811485D56B043164",1)</v>
      </c>
      <c r="J35" s="34" t="str">
        <f t="shared" si="4"/>
        <v>个</v>
      </c>
      <c r="K35" s="34">
        <f>E35</f>
        <v>16</v>
      </c>
      <c r="L35" s="34" t="s">
        <v>35</v>
      </c>
      <c r="M35" s="37">
        <f>VLOOKUP(F35,'[1]国标管件 1'!$C:$I,7,FALSE)</f>
        <v>4307</v>
      </c>
      <c r="N35" s="37">
        <f>M35*K35</f>
        <v>68912</v>
      </c>
      <c r="O35" s="38" t="s">
        <v>36</v>
      </c>
    </row>
    <row r="36" s="1" customFormat="1" ht="80" customHeight="1" spans="1:15">
      <c r="A36" s="33">
        <v>29</v>
      </c>
      <c r="B36" s="40" t="s">
        <v>31</v>
      </c>
      <c r="C36" s="41" t="s">
        <v>65</v>
      </c>
      <c r="D36" s="41" t="s">
        <v>38</v>
      </c>
      <c r="E36" s="41">
        <v>10</v>
      </c>
      <c r="F36" s="41" t="s">
        <v>49</v>
      </c>
      <c r="G36" s="36"/>
      <c r="H36" s="36"/>
      <c r="I36" s="41"/>
      <c r="J36" s="34"/>
      <c r="K36" s="34"/>
      <c r="L36" s="34"/>
      <c r="M36" s="37"/>
      <c r="N36" s="37"/>
      <c r="O36" s="38"/>
    </row>
    <row r="37" s="1" customFormat="1" ht="80" customHeight="1" spans="1:15">
      <c r="A37" s="33">
        <v>30</v>
      </c>
      <c r="B37" s="40" t="s">
        <v>66</v>
      </c>
      <c r="C37" s="41" t="s">
        <v>67</v>
      </c>
      <c r="D37" s="41" t="s">
        <v>38</v>
      </c>
      <c r="E37" s="42">
        <v>1</v>
      </c>
      <c r="F37" s="43">
        <v>8010071454</v>
      </c>
      <c r="G37" s="42" t="str">
        <f ca="1">VLOOKUP(F37,[1]LESSO管材!$C:$L,2,FALSE)</f>
        <v>异径套(PPR 配件)印尼绿色 dn50x40 (1-1/2"x1-1/4") 联塑</v>
      </c>
      <c r="H37" s="42" t="str">
        <f ca="1">VLOOKUP(F37,[1]LESSO管材!$C:$L,3,FALSE)</f>
        <v>PPR Reducer dn50x40 (1-1/2"x1-1/4") Green(INA) - LESSO</v>
      </c>
      <c r="I37" s="41" t="s">
        <v>68</v>
      </c>
      <c r="J37" s="41" t="s">
        <v>38</v>
      </c>
      <c r="K37" s="42">
        <v>1</v>
      </c>
      <c r="L37" s="42" t="s">
        <v>35</v>
      </c>
      <c r="M37" s="44">
        <f ca="1">VLOOKUP(F37,[1]LESSO管材!$C:$L,10,FALSE)</f>
        <v>8290</v>
      </c>
      <c r="N37" s="37">
        <f ca="1">M37*K37</f>
        <v>8290</v>
      </c>
      <c r="O37" s="38" t="s">
        <v>36</v>
      </c>
    </row>
    <row r="38" s="1" customFormat="1" ht="80" customHeight="1" spans="1:15">
      <c r="A38" s="33">
        <v>31</v>
      </c>
      <c r="B38" s="40" t="s">
        <v>69</v>
      </c>
      <c r="C38" s="41">
        <v>40</v>
      </c>
      <c r="D38" s="41" t="s">
        <v>32</v>
      </c>
      <c r="E38" s="42">
        <v>5</v>
      </c>
      <c r="F38" s="43">
        <v>8010062268</v>
      </c>
      <c r="G38" s="42" t="str">
        <f ca="1">VLOOKUP(F38,[1]LESSO管材!$C:$L,2,FALSE)</f>
        <v>(IDN)PPR冷给水直管S5(1.0MPa)印尼绿色 dn40 (1-1/4") 4M/根 联塑</v>
      </c>
      <c r="H38" s="42" t="str">
        <f ca="1">VLOOKUP(F38,[1]LESSO管材!$C:$L,3,FALSE)</f>
        <v>(IDN)PPR Pipe S5(1.0Mpa) dn40 (1-1/4") 4M/pcs Green(INA) - LESSO</v>
      </c>
      <c r="I38" s="42" t="s">
        <v>70</v>
      </c>
      <c r="J38" s="42" t="s">
        <v>34</v>
      </c>
      <c r="K38" s="34">
        <f t="shared" ref="K38:K45" si="5">E38</f>
        <v>5</v>
      </c>
      <c r="L38" s="42" t="s">
        <v>35</v>
      </c>
      <c r="M38" s="44">
        <f ca="1">VLOOKUP(F38,[1]LESSO管材!$C:$L,10,FALSE)</f>
        <v>66142</v>
      </c>
      <c r="N38" s="37">
        <f ca="1" t="shared" ref="N38:N44" si="6">M38*K38</f>
        <v>330710</v>
      </c>
      <c r="O38" s="38" t="s">
        <v>36</v>
      </c>
    </row>
    <row r="39" s="1" customFormat="1" ht="80" customHeight="1" spans="1:15">
      <c r="A39" s="33">
        <v>32</v>
      </c>
      <c r="B39" s="40" t="s">
        <v>69</v>
      </c>
      <c r="C39" s="41" t="s">
        <v>60</v>
      </c>
      <c r="D39" s="41" t="s">
        <v>38</v>
      </c>
      <c r="E39" s="41">
        <v>10</v>
      </c>
      <c r="F39" s="43">
        <v>8010071380</v>
      </c>
      <c r="G39" s="42" t="str">
        <f ca="1">VLOOKUP(F39,[1]LESSO管材!$C:$L,2,FALSE)</f>
        <v>直通(PPR 配件)印尼绿色 dn40 (1-1/4") 联塑</v>
      </c>
      <c r="H39" s="42" t="str">
        <f ca="1">VLOOKUP(F39,[1]LESSO管材!$C:$L,3,FALSE)</f>
        <v>PPR Coupling dn40 (1-1/4")- LESSO</v>
      </c>
      <c r="I39" s="42" t="s">
        <v>70</v>
      </c>
      <c r="J39" s="42" t="str">
        <f t="shared" ref="J39:J44" si="7">D39</f>
        <v>个</v>
      </c>
      <c r="K39" s="34">
        <f t="shared" si="5"/>
        <v>10</v>
      </c>
      <c r="L39" s="42" t="s">
        <v>35</v>
      </c>
      <c r="M39" s="44">
        <f ca="1">VLOOKUP(F39,[1]LESSO管材!$C:$L,10,FALSE)</f>
        <v>4514</v>
      </c>
      <c r="N39" s="37">
        <f ca="1" t="shared" si="6"/>
        <v>45140</v>
      </c>
      <c r="O39" s="38" t="s">
        <v>36</v>
      </c>
    </row>
    <row r="40" s="1" customFormat="1" ht="80" customHeight="1" spans="1:15">
      <c r="A40" s="33">
        <v>33</v>
      </c>
      <c r="B40" s="40" t="s">
        <v>69</v>
      </c>
      <c r="C40" s="41" t="s">
        <v>41</v>
      </c>
      <c r="D40" s="41" t="s">
        <v>38</v>
      </c>
      <c r="E40" s="41">
        <v>4</v>
      </c>
      <c r="F40" s="43">
        <v>8010071438</v>
      </c>
      <c r="G40" s="42" t="str">
        <f ca="1">VLOOKUP(F40,[1]LESSO管材!$C:$L,2,FALSE)</f>
        <v>45°弯头(PPR 配件)印尼绿色 dn40 (1-1/4") 联塑</v>
      </c>
      <c r="H40" s="42" t="str">
        <f ca="1">VLOOKUP(F40,[1]LESSO管材!$C:$L,3,FALSE)</f>
        <v>PPR 45° Elbow dn40 (1-1/4") Green(INA) - LESSO</v>
      </c>
      <c r="I40" s="42" t="s">
        <v>70</v>
      </c>
      <c r="J40" s="42" t="str">
        <f t="shared" si="7"/>
        <v>个</v>
      </c>
      <c r="K40" s="34">
        <f t="shared" si="5"/>
        <v>4</v>
      </c>
      <c r="L40" s="42" t="s">
        <v>35</v>
      </c>
      <c r="M40" s="44">
        <f ca="1">VLOOKUP(F40,[1]LESSO管材!$C:$L,10,FALSE)</f>
        <v>6720</v>
      </c>
      <c r="N40" s="37">
        <f ca="1" t="shared" si="6"/>
        <v>26880</v>
      </c>
      <c r="O40" s="38" t="s">
        <v>36</v>
      </c>
    </row>
    <row r="41" s="1" customFormat="1" ht="80" customHeight="1" spans="1:15">
      <c r="A41" s="33">
        <v>34</v>
      </c>
      <c r="B41" s="40" t="s">
        <v>69</v>
      </c>
      <c r="C41" s="41" t="s">
        <v>40</v>
      </c>
      <c r="D41" s="41" t="s">
        <v>38</v>
      </c>
      <c r="E41" s="41">
        <v>10</v>
      </c>
      <c r="F41" s="43">
        <v>8010071404</v>
      </c>
      <c r="G41" s="42" t="str">
        <f ca="1">VLOOKUP(F41,[1]LESSO管材!$C:$L,2,FALSE)</f>
        <v>90°弯头(PPR 配件)印尼绿色 dn40 (1-1/4") 联塑</v>
      </c>
      <c r="H41" s="42" t="str">
        <f ca="1">VLOOKUP(F41,[1]LESSO管材!$C:$L,3,FALSE)</f>
        <v>PPR 90° Elbow dn40 (1-1/4") Green(INA) - LESSO</v>
      </c>
      <c r="I41" s="42" t="s">
        <v>70</v>
      </c>
      <c r="J41" s="42" t="str">
        <f t="shared" si="7"/>
        <v>个</v>
      </c>
      <c r="K41" s="34">
        <f t="shared" si="5"/>
        <v>10</v>
      </c>
      <c r="L41" s="42" t="s">
        <v>35</v>
      </c>
      <c r="M41" s="44">
        <f ca="1">VLOOKUP(F41,[1]LESSO管材!$C:$L,10,FALSE)</f>
        <v>7456</v>
      </c>
      <c r="N41" s="37">
        <f ca="1" t="shared" si="6"/>
        <v>74560</v>
      </c>
      <c r="O41" s="38" t="s">
        <v>36</v>
      </c>
    </row>
    <row r="42" s="1" customFormat="1" ht="80" customHeight="1" spans="1:15">
      <c r="A42" s="33">
        <v>35</v>
      </c>
      <c r="B42" s="40" t="s">
        <v>69</v>
      </c>
      <c r="C42" s="41" t="s">
        <v>71</v>
      </c>
      <c r="D42" s="41" t="s">
        <v>38</v>
      </c>
      <c r="E42" s="41">
        <v>4</v>
      </c>
      <c r="F42" s="43">
        <v>8010071414</v>
      </c>
      <c r="G42" s="42" t="str">
        <f ca="1">VLOOKUP(F42,[1]LESSO管材!$C:$L,2,FALSE)</f>
        <v>90°等径三通(PPR 配件)印尼绿色 dn40 (1-1/4") 联塑</v>
      </c>
      <c r="H42" s="42" t="str">
        <f ca="1">VLOOKUP(F42,[1]LESSO管材!$C:$L,3,FALSE)</f>
        <v>PPR 90° Tee dn40 (1-1/4") Green(INA) - LESSO</v>
      </c>
      <c r="I42" s="42" t="s">
        <v>70</v>
      </c>
      <c r="J42" s="42" t="str">
        <f t="shared" si="7"/>
        <v>个</v>
      </c>
      <c r="K42" s="34">
        <f t="shared" si="5"/>
        <v>4</v>
      </c>
      <c r="L42" s="42" t="s">
        <v>35</v>
      </c>
      <c r="M42" s="44">
        <f ca="1">VLOOKUP(F42,[1]LESSO管材!$C:$L,10,FALSE)</f>
        <v>9026</v>
      </c>
      <c r="N42" s="37">
        <f ca="1" t="shared" si="6"/>
        <v>36104</v>
      </c>
      <c r="O42" s="38" t="s">
        <v>36</v>
      </c>
    </row>
    <row r="43" s="1" customFormat="1" ht="80" customHeight="1" spans="1:15">
      <c r="A43" s="33">
        <v>36</v>
      </c>
      <c r="B43" s="40" t="s">
        <v>69</v>
      </c>
      <c r="C43" s="41" t="s">
        <v>72</v>
      </c>
      <c r="D43" s="41" t="s">
        <v>38</v>
      </c>
      <c r="E43" s="41">
        <v>6</v>
      </c>
      <c r="F43" s="43">
        <v>8010071364</v>
      </c>
      <c r="G43" s="42" t="s">
        <v>73</v>
      </c>
      <c r="H43" s="42" t="str">
        <f ca="1">VLOOKUP(F43,[1]LESSO管材!$C:$L,3,FALSE)</f>
        <v>PPR 90° Reducing Tee dn40x25 (1-1/4"x3/4") Green(INA) - LESSO</v>
      </c>
      <c r="I43" s="42" t="s">
        <v>74</v>
      </c>
      <c r="J43" s="42" t="str">
        <f t="shared" si="7"/>
        <v>个</v>
      </c>
      <c r="K43" s="34">
        <f t="shared" si="5"/>
        <v>6</v>
      </c>
      <c r="L43" s="42" t="s">
        <v>35</v>
      </c>
      <c r="M43" s="44">
        <f ca="1">VLOOKUP(F43,[1]LESSO管材!$C:$L,10,FALSE)</f>
        <v>8732</v>
      </c>
      <c r="N43" s="37">
        <f ca="1" t="shared" si="6"/>
        <v>52392</v>
      </c>
      <c r="O43" s="38" t="s">
        <v>36</v>
      </c>
    </row>
    <row r="44" s="1" customFormat="1" ht="80" customHeight="1" spans="1:15">
      <c r="A44" s="33">
        <v>37</v>
      </c>
      <c r="B44" s="40" t="s">
        <v>69</v>
      </c>
      <c r="C44" s="41" t="s">
        <v>75</v>
      </c>
      <c r="D44" s="41" t="s">
        <v>38</v>
      </c>
      <c r="E44" s="41">
        <v>2</v>
      </c>
      <c r="F44" s="43">
        <v>8010071449</v>
      </c>
      <c r="G44" s="42" t="s">
        <v>76</v>
      </c>
      <c r="H44" s="42" t="str">
        <f ca="1">VLOOKUP(F44,[1]LESSO管材!$C:$L,3,FALSE)</f>
        <v>PPR Reducer dn40x25 (1-1/4"x3/4") Green(INA) - LESSO</v>
      </c>
      <c r="I44" s="42" t="s">
        <v>74</v>
      </c>
      <c r="J44" s="42" t="str">
        <f t="shared" si="7"/>
        <v>个</v>
      </c>
      <c r="K44" s="34">
        <f t="shared" si="5"/>
        <v>2</v>
      </c>
      <c r="L44" s="42" t="s">
        <v>35</v>
      </c>
      <c r="M44" s="44">
        <f ca="1">VLOOKUP(F44,[1]LESSO管材!$C:$L,10,FALSE)</f>
        <v>3778</v>
      </c>
      <c r="N44" s="37">
        <f ca="1" t="shared" si="6"/>
        <v>7556</v>
      </c>
      <c r="O44" s="38" t="s">
        <v>36</v>
      </c>
    </row>
    <row r="45" s="1" customFormat="1" ht="80" customHeight="1" spans="1:15">
      <c r="A45" s="33">
        <v>38</v>
      </c>
      <c r="B45" s="40" t="s">
        <v>77</v>
      </c>
      <c r="C45" s="41" t="s">
        <v>78</v>
      </c>
      <c r="D45" s="41" t="s">
        <v>38</v>
      </c>
      <c r="E45" s="41">
        <v>10</v>
      </c>
      <c r="F45" s="43">
        <v>8010072791</v>
      </c>
      <c r="G45" s="42" t="str">
        <f ca="1">VLOOKUP(F45,[1]LESSO管材!$C:$L,2,FALSE)</f>
        <v>Ⅰ型管卡(不配爆破螺丝)(PPR 配件)印尼绿色 dn40 (1-1/4") 联塑</v>
      </c>
      <c r="H45" s="42" t="str">
        <f ca="1">VLOOKUP(F45,[1]LESSO管材!$C:$L,3,FALSE)</f>
        <v>PPR Pipe Clamp I (without Screw) dn40 (1-1/4") Green(INA) - LESSO</v>
      </c>
      <c r="I45" s="42" t="str">
        <f>_xlfn.DISPIMG("ID_9611E2F7BDC3411C9D54C9B0C3D903CE",1)</f>
        <v>=DISPIMG("ID_9611E2F7BDC3411C9D54C9B0C3D903CE",1)</v>
      </c>
      <c r="J45" s="42" t="str">
        <f t="shared" ref="J45:J56" si="8">D45</f>
        <v>个</v>
      </c>
      <c r="K45" s="42">
        <f t="shared" si="5"/>
        <v>10</v>
      </c>
      <c r="L45" s="42" t="s">
        <v>35</v>
      </c>
      <c r="M45" s="44">
        <f ca="1">VLOOKUP(F45,[1]LESSO管材!$C:$L,10,FALSE)</f>
        <v>1570</v>
      </c>
      <c r="N45" s="37">
        <f ca="1" t="shared" ref="N45:N59" si="9">M45*K45</f>
        <v>15700</v>
      </c>
      <c r="O45" s="38" t="s">
        <v>36</v>
      </c>
    </row>
    <row r="46" s="1" customFormat="1" ht="80" customHeight="1" spans="1:15">
      <c r="A46" s="33">
        <v>39</v>
      </c>
      <c r="B46" s="40" t="s">
        <v>79</v>
      </c>
      <c r="C46" s="41" t="s">
        <v>80</v>
      </c>
      <c r="D46" s="41" t="s">
        <v>38</v>
      </c>
      <c r="E46" s="41">
        <v>15</v>
      </c>
      <c r="F46" s="41" t="s">
        <v>49</v>
      </c>
      <c r="G46" s="42"/>
      <c r="H46" s="42"/>
      <c r="I46" s="42"/>
      <c r="J46" s="42"/>
      <c r="K46" s="42"/>
      <c r="L46" s="42"/>
      <c r="M46" s="44"/>
      <c r="N46" s="37"/>
      <c r="O46" s="38"/>
    </row>
    <row r="47" s="1" customFormat="1" ht="80" customHeight="1" spans="1:15">
      <c r="A47" s="33">
        <v>40</v>
      </c>
      <c r="B47" s="40" t="s">
        <v>69</v>
      </c>
      <c r="C47" s="41">
        <v>25</v>
      </c>
      <c r="D47" s="41" t="s">
        <v>32</v>
      </c>
      <c r="E47" s="42">
        <v>13</v>
      </c>
      <c r="F47" s="43">
        <v>8010062266</v>
      </c>
      <c r="G47" s="42" t="str">
        <f ca="1">VLOOKUP(F47,[1]LESSO管材!$C:$L,2,FALSE)</f>
        <v>(IDN)PPR冷给水直管S5(1.0MPa)印尼绿色 dn25 (3/4") 4M/根 联塑</v>
      </c>
      <c r="H47" s="42" t="str">
        <f ca="1">VLOOKUP(F47,[1]LESSO管材!$C:$L,3,FALSE)</f>
        <v>(IDN)PPR Pipe S5(1.0Mpa) dn25 (3/4") 4M/pcs Green(INA) - LESSO</v>
      </c>
      <c r="I47" s="42" t="s">
        <v>81</v>
      </c>
      <c r="J47" s="42" t="s">
        <v>34</v>
      </c>
      <c r="K47" s="42">
        <f>E47</f>
        <v>13</v>
      </c>
      <c r="L47" s="42" t="s">
        <v>35</v>
      </c>
      <c r="M47" s="44">
        <f ca="1">VLOOKUP(F47,[1]LESSO管材!$C:$L,10,FALSE)</f>
        <v>25360</v>
      </c>
      <c r="N47" s="37">
        <f ca="1" t="shared" si="9"/>
        <v>329680</v>
      </c>
      <c r="O47" s="38" t="s">
        <v>36</v>
      </c>
    </row>
    <row r="48" s="1" customFormat="1" ht="80" customHeight="1" spans="1:15">
      <c r="A48" s="33">
        <v>41</v>
      </c>
      <c r="B48" s="40" t="s">
        <v>69</v>
      </c>
      <c r="C48" s="41" t="s">
        <v>60</v>
      </c>
      <c r="D48" s="41" t="s">
        <v>38</v>
      </c>
      <c r="E48" s="42">
        <v>20</v>
      </c>
      <c r="F48" s="43">
        <v>8010071378</v>
      </c>
      <c r="G48" s="42" t="str">
        <f ca="1">VLOOKUP(F48,[1]LESSO管材!$C:$L,2,FALSE)</f>
        <v>直通(PPR 配件)印尼绿色 dn25 (3/4") 联塑</v>
      </c>
      <c r="H48" s="42" t="str">
        <f ca="1">VLOOKUP(F48,[1]LESSO管材!$C:$L,3,FALSE)</f>
        <v>PPR Coupling dn25 (3/4") Green(INA) - LESSO</v>
      </c>
      <c r="I48" s="42" t="s">
        <v>81</v>
      </c>
      <c r="J48" s="42" t="str">
        <f t="shared" si="8"/>
        <v>个</v>
      </c>
      <c r="K48" s="42">
        <f t="shared" ref="K48:K58" si="10">E48</f>
        <v>20</v>
      </c>
      <c r="L48" s="42" t="s">
        <v>35</v>
      </c>
      <c r="M48" s="44">
        <f ca="1">VLOOKUP(F48,[1]LESSO管材!$C:$L,10,FALSE)</f>
        <v>1619</v>
      </c>
      <c r="N48" s="37">
        <f ca="1" t="shared" si="9"/>
        <v>32380</v>
      </c>
      <c r="O48" s="38" t="s">
        <v>36</v>
      </c>
    </row>
    <row r="49" s="1" customFormat="1" ht="80" customHeight="1" spans="1:17">
      <c r="A49" s="33">
        <v>42</v>
      </c>
      <c r="B49" s="40" t="s">
        <v>69</v>
      </c>
      <c r="C49" s="41" t="s">
        <v>82</v>
      </c>
      <c r="D49" s="41" t="s">
        <v>38</v>
      </c>
      <c r="E49" s="42">
        <v>20</v>
      </c>
      <c r="F49" s="43">
        <v>8010071402</v>
      </c>
      <c r="G49" s="42" t="str">
        <f ca="1">VLOOKUP(F49,[1]LESSO管材!$C:$L,2,FALSE)</f>
        <v>90°弯头(PPR 配件)印尼绿色 dn25 (3/4") 联塑</v>
      </c>
      <c r="H49" s="42" t="str">
        <f ca="1">VLOOKUP(F49,[1]LESSO管材!$C:$L,3,FALSE)</f>
        <v>PPR 90° Elbow dn25 (3/4") Green(INA) - LESSO</v>
      </c>
      <c r="I49" s="42" t="s">
        <v>81</v>
      </c>
      <c r="J49" s="42" t="str">
        <f t="shared" si="8"/>
        <v>个</v>
      </c>
      <c r="K49" s="42">
        <f t="shared" si="10"/>
        <v>20</v>
      </c>
      <c r="L49" s="42" t="s">
        <v>35</v>
      </c>
      <c r="M49" s="44">
        <f ca="1">VLOOKUP(F49,[1]LESSO管材!$C:$L,10,FALSE)</f>
        <v>1713</v>
      </c>
      <c r="N49" s="37">
        <f ca="1" t="shared" si="9"/>
        <v>34260</v>
      </c>
      <c r="O49" s="38" t="s">
        <v>36</v>
      </c>
    </row>
    <row r="50" s="1" customFormat="1" ht="80" customHeight="1" spans="1:17">
      <c r="A50" s="33">
        <v>43</v>
      </c>
      <c r="B50" s="40" t="s">
        <v>69</v>
      </c>
      <c r="C50" s="41" t="s">
        <v>83</v>
      </c>
      <c r="D50" s="41" t="s">
        <v>38</v>
      </c>
      <c r="E50" s="42">
        <v>20</v>
      </c>
      <c r="F50" s="43">
        <v>8010071412</v>
      </c>
      <c r="G50" s="42" t="str">
        <f ca="1">VLOOKUP(F50,[1]LESSO管材!$C:$L,2,FALSE)</f>
        <v>90°等径三通(PPR 配件)印尼绿色 dn25 (3/4") 联塑</v>
      </c>
      <c r="H50" s="42" t="str">
        <f ca="1">VLOOKUP(F50,[1]LESSO管材!$C:$L,3,FALSE)</f>
        <v>PPR 90° Tee dn25 (3/4") Green(INA) - LESSO</v>
      </c>
      <c r="I50" s="42" t="s">
        <v>81</v>
      </c>
      <c r="J50" s="42" t="str">
        <f t="shared" si="8"/>
        <v>个</v>
      </c>
      <c r="K50" s="42">
        <f t="shared" si="10"/>
        <v>20</v>
      </c>
      <c r="L50" s="42" t="s">
        <v>35</v>
      </c>
      <c r="M50" s="44">
        <f ca="1">VLOOKUP(F50,[1]LESSO管材!$C:$L,10,FALSE)</f>
        <v>2748</v>
      </c>
      <c r="N50" s="37">
        <f ca="1" t="shared" si="9"/>
        <v>54960</v>
      </c>
      <c r="O50" s="38" t="s">
        <v>36</v>
      </c>
    </row>
    <row r="51" s="1" customFormat="1" ht="80" customHeight="1" spans="1:17">
      <c r="A51" s="33">
        <v>44</v>
      </c>
      <c r="B51" s="40" t="s">
        <v>69</v>
      </c>
      <c r="C51" s="41" t="s">
        <v>84</v>
      </c>
      <c r="D51" s="41" t="s">
        <v>38</v>
      </c>
      <c r="E51" s="42">
        <v>100</v>
      </c>
      <c r="F51" s="43">
        <v>8010071431</v>
      </c>
      <c r="G51" s="42" t="s">
        <v>85</v>
      </c>
      <c r="H51" s="42" t="s">
        <v>86</v>
      </c>
      <c r="I51" s="42" t="str">
        <f>_xlfn.DISPIMG("ID_AF0BB8897B7642498ACC2BCBEF02CE29",1)</f>
        <v>=DISPIMG("ID_AF0BB8897B7642498ACC2BCBEF02CE29",1)</v>
      </c>
      <c r="J51" s="41" t="s">
        <v>38</v>
      </c>
      <c r="K51" s="42">
        <v>100</v>
      </c>
      <c r="L51" s="42" t="s">
        <v>35</v>
      </c>
      <c r="M51" s="44">
        <v>786</v>
      </c>
      <c r="N51" s="37">
        <f t="shared" si="9"/>
        <v>78600</v>
      </c>
      <c r="O51" s="38" t="s">
        <v>36</v>
      </c>
    </row>
    <row r="52" s="1" customFormat="1" ht="80" customHeight="1" spans="1:17">
      <c r="A52" s="33">
        <v>45</v>
      </c>
      <c r="B52" s="40" t="s">
        <v>69</v>
      </c>
      <c r="C52" s="41" t="s">
        <v>87</v>
      </c>
      <c r="D52" s="41" t="s">
        <v>38</v>
      </c>
      <c r="E52" s="41">
        <v>10</v>
      </c>
      <c r="F52" s="43">
        <v>8010071472</v>
      </c>
      <c r="G52" s="42" t="str">
        <f ca="1">VLOOKUP(F52,[1]LESSO管材!$C:$L,2,FALSE)</f>
        <v>内螺纹三通Ⅰ型(PPR 配件)印尼绿色 dn25x1/2" 联塑</v>
      </c>
      <c r="H52" s="42" t="str">
        <f ca="1">VLOOKUP(F52,[1]LESSO管材!$C:$L,3,FALSE)</f>
        <v>PPR Female Thread Tee I dn25x1/2" Green(INA) - LESSO</v>
      </c>
      <c r="I52" s="42" t="str">
        <f>_xlfn.DISPIMG("ID_310BCAB92505492DB393CF79309F500D",1)</f>
        <v>=DISPIMG("ID_310BCAB92505492DB393CF79309F500D",1)</v>
      </c>
      <c r="J52" s="42" t="str">
        <f t="shared" si="8"/>
        <v>个</v>
      </c>
      <c r="K52" s="42">
        <f t="shared" si="10"/>
        <v>10</v>
      </c>
      <c r="L52" s="42" t="s">
        <v>35</v>
      </c>
      <c r="M52" s="44">
        <f ca="1">VLOOKUP(F52,[1]LESSO管材!$C:$L,10,FALSE)</f>
        <v>10556</v>
      </c>
      <c r="N52" s="37">
        <f ca="1" t="shared" si="9"/>
        <v>105560</v>
      </c>
      <c r="O52" s="38" t="s">
        <v>36</v>
      </c>
    </row>
    <row r="53" s="1" customFormat="1" ht="80" customHeight="1" spans="1:17">
      <c r="A53" s="33">
        <v>46</v>
      </c>
      <c r="B53" s="40" t="s">
        <v>69</v>
      </c>
      <c r="C53" s="41" t="s">
        <v>88</v>
      </c>
      <c r="D53" s="41" t="s">
        <v>38</v>
      </c>
      <c r="E53" s="42">
        <v>15</v>
      </c>
      <c r="F53" s="43">
        <v>8010071394</v>
      </c>
      <c r="G53" s="42" t="str">
        <f ca="1">VLOOKUP(F53,[1]LESSO管材!$C:$L,2,FALSE)</f>
        <v>内螺纹弯头Ⅰ型(PPR 配件)印尼绿色 dn25x1/2" 联塑</v>
      </c>
      <c r="H53" s="42" t="str">
        <f ca="1">VLOOKUP(F53,[1]LESSO管材!$C:$L,3,FALSE)</f>
        <v>PPR Female Thread Elbow I dn25x1/2" Green(INA) - LESSO</v>
      </c>
      <c r="I53" s="42" t="str">
        <f>_xlfn.DISPIMG("ID_4D762A14AE084F258A03B4C4432AB565",1)</f>
        <v>=DISPIMG("ID_4D762A14AE084F258A03B4C4432AB565",1)</v>
      </c>
      <c r="J53" s="42" t="str">
        <f t="shared" si="8"/>
        <v>个</v>
      </c>
      <c r="K53" s="42">
        <f t="shared" si="10"/>
        <v>15</v>
      </c>
      <c r="L53" s="42" t="s">
        <v>35</v>
      </c>
      <c r="M53" s="44">
        <f ca="1">VLOOKUP(F53,[1]LESSO管材!$C:$L,10,FALSE)</f>
        <v>10100</v>
      </c>
      <c r="N53" s="37">
        <f ca="1" t="shared" si="9"/>
        <v>151500</v>
      </c>
      <c r="O53" s="38" t="s">
        <v>36</v>
      </c>
    </row>
    <row r="54" s="1" customFormat="1" ht="80" customHeight="1" spans="1:17">
      <c r="A54" s="33">
        <v>47</v>
      </c>
      <c r="B54" s="40" t="s">
        <v>89</v>
      </c>
      <c r="C54" s="41"/>
      <c r="D54" s="41" t="s">
        <v>90</v>
      </c>
      <c r="E54" s="41">
        <v>30</v>
      </c>
      <c r="F54" s="35" t="s">
        <v>91</v>
      </c>
      <c r="G54" s="42" t="str">
        <f ca="1">VLOOKUP(F54,[1]LESSO管材!$C:$L,2,FALSE)</f>
        <v>Sealtape HQ 12mm x10M 生料带</v>
      </c>
      <c r="H54" s="42" t="str">
        <f ca="1">VLOOKUP(F54,[1]LESSO管材!$C:$L,3,FALSE)</f>
        <v>SEALTAPE</v>
      </c>
      <c r="I54" s="42"/>
      <c r="J54" s="42" t="str">
        <f t="shared" si="8"/>
        <v>卷</v>
      </c>
      <c r="K54" s="42">
        <f t="shared" si="10"/>
        <v>30</v>
      </c>
      <c r="L54" s="42"/>
      <c r="M54" s="44">
        <f ca="1">VLOOKUP(F54,[1]LESSO管材!$C:$L,10,FALSE)</f>
        <v>3862</v>
      </c>
      <c r="N54" s="37">
        <f ca="1" t="shared" si="9"/>
        <v>115860</v>
      </c>
      <c r="O54" s="38" t="s">
        <v>36</v>
      </c>
    </row>
    <row r="55" s="1" customFormat="1" ht="80" customHeight="1" spans="1:17">
      <c r="A55" s="33">
        <v>48</v>
      </c>
      <c r="B55" s="40" t="s">
        <v>92</v>
      </c>
      <c r="C55" s="41" t="s">
        <v>93</v>
      </c>
      <c r="D55" s="41" t="s">
        <v>94</v>
      </c>
      <c r="E55" s="41">
        <v>2</v>
      </c>
      <c r="F55" s="43" t="s">
        <v>95</v>
      </c>
      <c r="G55" s="42" t="str">
        <f ca="1">VLOOKUP(F55,[1]LESSO管材!$C:$L,2,FALSE)</f>
        <v>PVC 胶水(莱姆) 400g - ISARPLAS</v>
      </c>
      <c r="H55" s="42" t="str">
        <f ca="1">VLOOKUP(F55,[1]LESSO管材!$C:$L,3,FALSE)</f>
        <v>Glue PVC 400g - ISARPLAS</v>
      </c>
      <c r="I55" s="42"/>
      <c r="J55" s="42" t="str">
        <f t="shared" si="8"/>
        <v>瓶</v>
      </c>
      <c r="K55" s="42">
        <f t="shared" si="10"/>
        <v>2</v>
      </c>
      <c r="L55" s="42"/>
      <c r="M55" s="44">
        <f ca="1">VLOOKUP(F55,[1]LESSO管材!$C:$L,10,FALSE)</f>
        <v>54772</v>
      </c>
      <c r="N55" s="37">
        <f ca="1" t="shared" si="9"/>
        <v>109544</v>
      </c>
      <c r="O55" s="38" t="s">
        <v>36</v>
      </c>
    </row>
    <row r="56" s="2" customFormat="1" ht="80" customHeight="1" spans="1:17">
      <c r="A56" s="33">
        <v>49</v>
      </c>
      <c r="B56" s="40" t="s">
        <v>96</v>
      </c>
      <c r="C56" s="41" t="s">
        <v>97</v>
      </c>
      <c r="D56" s="41" t="s">
        <v>98</v>
      </c>
      <c r="E56" s="42">
        <v>5</v>
      </c>
      <c r="F56" s="43">
        <v>8030050068</v>
      </c>
      <c r="G56" s="42" t="str">
        <f ca="1">VLOOKUP(F56,[1]LESSO管材!$C:$L,2,FALSE)</f>
        <v>PVC电线管(B管)白色 dn20 2.9M/根 联塑</v>
      </c>
      <c r="H56" s="42" t="str">
        <f ca="1">VLOOKUP(F56,[1]LESSO管材!$C:$L,3,FALSE)</f>
        <v>PVC Conduit (grade B) dn20 2.9M/pc White - LESSO</v>
      </c>
      <c r="I56" s="42"/>
      <c r="J56" s="41" t="s">
        <v>98</v>
      </c>
      <c r="K56" s="42">
        <v>5</v>
      </c>
      <c r="L56" s="42" t="s">
        <v>35</v>
      </c>
      <c r="M56" s="44">
        <f ca="1">VLOOKUP(F56,[1]LESSO管材!$C:$L,10,FALSE)</f>
        <v>6173</v>
      </c>
      <c r="N56" s="37">
        <f ca="1" t="shared" si="9"/>
        <v>30865</v>
      </c>
      <c r="O56" s="38" t="s">
        <v>36</v>
      </c>
    </row>
    <row r="57" s="2" customFormat="1" ht="80" customHeight="1" spans="1:17">
      <c r="A57" s="33">
        <v>50</v>
      </c>
      <c r="B57" s="40" t="s">
        <v>99</v>
      </c>
      <c r="C57" s="42">
        <v>20</v>
      </c>
      <c r="D57" s="41" t="s">
        <v>98</v>
      </c>
      <c r="E57" s="42">
        <v>1</v>
      </c>
      <c r="F57" s="43">
        <v>8030020361</v>
      </c>
      <c r="G57" s="42" t="str">
        <f ca="1">VLOOKUP(F57,[1]LESSO管材!$C:$L,2,FALSE)</f>
        <v>弯管弹簧PVC电工套管配件工具 Φ20B 联塑</v>
      </c>
      <c r="H57" s="42" t="str">
        <f ca="1">VLOOKUP(F57,[1]LESSO管材!$C:$L,3,FALSE)</f>
        <v>PVC Conduit Bending Spring (for Gade B Conduit) dn20 White - LESSO</v>
      </c>
      <c r="I57" s="42"/>
      <c r="J57" s="41" t="s">
        <v>98</v>
      </c>
      <c r="K57" s="42">
        <v>1</v>
      </c>
      <c r="L57" s="42" t="s">
        <v>35</v>
      </c>
      <c r="M57" s="44">
        <f ca="1">VLOOKUP(F57,[1]LESSO管材!$C:$L,10,FALSE)</f>
        <v>15140</v>
      </c>
      <c r="N57" s="37">
        <f ca="1" t="shared" si="9"/>
        <v>15140</v>
      </c>
      <c r="O57" s="38" t="s">
        <v>36</v>
      </c>
    </row>
    <row r="58" s="2" customFormat="1" ht="80" customHeight="1" spans="1:17">
      <c r="A58" s="33">
        <v>51</v>
      </c>
      <c r="B58" s="40" t="s">
        <v>100</v>
      </c>
      <c r="C58" s="41"/>
      <c r="D58" s="41" t="s">
        <v>38</v>
      </c>
      <c r="E58" s="42">
        <v>10</v>
      </c>
      <c r="F58" s="41">
        <v>8020020047</v>
      </c>
      <c r="G58" s="42" t="str">
        <f>VLOOKUP(F58,'[1]国标管件 1'!$C:$D,2,FALSE)</f>
        <v>大小头PVC-U排水配件白色 dn110×50</v>
      </c>
      <c r="H58" s="42" t="str">
        <f>VLOOKUP(F58,'[1]国标管件 1'!$C:$DL,3,FALSE)</f>
        <v>Reducer 110mm x 50mm - LESSO</v>
      </c>
      <c r="I58" s="42" t="s">
        <v>101</v>
      </c>
      <c r="J58" s="41" t="s">
        <v>38</v>
      </c>
      <c r="K58" s="42">
        <f>E58</f>
        <v>10</v>
      </c>
      <c r="L58" s="42" t="s">
        <v>35</v>
      </c>
      <c r="M58" s="45">
        <f>VLOOKUP(F58,'[1]国标管件 1'!$C:$L,7,FALSE)</f>
        <v>6277</v>
      </c>
      <c r="N58" s="37">
        <f t="shared" si="9"/>
        <v>62770</v>
      </c>
      <c r="O58" s="38" t="s">
        <v>36</v>
      </c>
    </row>
    <row r="59" s="2" customFormat="1" ht="80" customHeight="1" spans="1:17">
      <c r="A59" s="33">
        <v>52</v>
      </c>
      <c r="B59" s="40" t="s">
        <v>102</v>
      </c>
      <c r="C59" s="41"/>
      <c r="D59" s="41" t="s">
        <v>38</v>
      </c>
      <c r="E59" s="42">
        <v>2</v>
      </c>
      <c r="F59" s="35" t="s">
        <v>49</v>
      </c>
      <c r="G59" s="42"/>
      <c r="H59" s="42"/>
      <c r="I59" s="42"/>
      <c r="J59" s="41"/>
      <c r="K59" s="42"/>
      <c r="L59" s="42"/>
      <c r="M59" s="45"/>
      <c r="N59" s="37"/>
      <c r="O59" s="38"/>
    </row>
    <row r="60" s="2" customFormat="1" ht="80" customHeight="1" spans="1:17">
      <c r="A60" s="33">
        <v>53</v>
      </c>
      <c r="B60" s="40" t="s">
        <v>103</v>
      </c>
      <c r="C60" s="41"/>
      <c r="D60" s="41" t="s">
        <v>38</v>
      </c>
      <c r="E60" s="42">
        <v>1</v>
      </c>
      <c r="F60" s="41" t="s">
        <v>49</v>
      </c>
      <c r="G60" s="42"/>
      <c r="H60" s="42"/>
      <c r="I60" s="42"/>
      <c r="J60" s="42"/>
      <c r="K60" s="42"/>
      <c r="L60" s="42"/>
      <c r="M60" s="42"/>
      <c r="N60" s="46"/>
      <c r="O60" s="47"/>
    </row>
    <row r="61" ht="80" customHeight="1" spans="1:17">
      <c r="A61" s="48" t="s">
        <v>104</v>
      </c>
      <c r="B61" s="40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6">
        <f ca="1">SUM(N8:N60)</f>
        <v>7781561</v>
      </c>
      <c r="O61" s="50"/>
    </row>
    <row r="62" ht="80" customHeight="1" spans="1:17">
      <c r="A62" s="48" t="s">
        <v>105</v>
      </c>
      <c r="B62" s="40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46">
        <f ca="1">N61*0.11</f>
        <v>855971.71</v>
      </c>
      <c r="O62" s="50"/>
    </row>
    <row r="63" ht="80" customHeight="1" spans="1:17">
      <c r="A63" s="48" t="s">
        <v>106</v>
      </c>
      <c r="B63" s="52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46">
        <v>0</v>
      </c>
      <c r="O63" s="50"/>
      <c r="P63" s="29"/>
      <c r="Q63" s="29"/>
    </row>
    <row r="64" ht="80" customHeight="1" spans="1:17">
      <c r="A64" s="48" t="s">
        <v>107</v>
      </c>
      <c r="B64" s="40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46">
        <f ca="1">SUM(N61:N63)</f>
        <v>8637532.71</v>
      </c>
      <c r="O64" s="50"/>
      <c r="P64" s="29"/>
      <c r="Q64" s="29"/>
    </row>
    <row r="65" ht="80" customHeight="1" spans="1:17">
      <c r="A65" s="54" t="s">
        <v>108</v>
      </c>
      <c r="B65" s="55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7"/>
      <c r="P65" s="58"/>
      <c r="Q65" s="58"/>
    </row>
    <row r="66" ht="112" customHeight="1" spans="1:17">
      <c r="A66" s="59" t="s">
        <v>109</v>
      </c>
      <c r="B66" s="55"/>
      <c r="C66" s="60"/>
      <c r="D66" s="60"/>
      <c r="E66" s="60"/>
      <c r="F66" s="60"/>
      <c r="G66" s="60"/>
      <c r="H66" s="60"/>
      <c r="I66" s="61" t="s">
        <v>110</v>
      </c>
      <c r="J66" s="61"/>
      <c r="K66" s="62">
        <v>46192</v>
      </c>
      <c r="L66" s="62"/>
      <c r="M66" s="62"/>
      <c r="N66" s="62"/>
      <c r="O66" s="63"/>
      <c r="P66" s="64"/>
      <c r="Q66" s="64"/>
    </row>
    <row r="67" ht="120" customHeight="1" spans="1:17">
      <c r="A67" s="54" t="s">
        <v>111</v>
      </c>
      <c r="B67" s="61"/>
      <c r="C67" s="65"/>
      <c r="D67" s="65"/>
      <c r="E67" s="65"/>
      <c r="F67" s="65"/>
      <c r="G67" s="65"/>
      <c r="H67" s="65"/>
      <c r="I67" s="61" t="s">
        <v>112</v>
      </c>
      <c r="J67" s="61"/>
      <c r="K67" s="66" t="s">
        <v>113</v>
      </c>
      <c r="L67" s="67"/>
      <c r="M67" s="67"/>
      <c r="N67" s="67"/>
      <c r="O67" s="68"/>
      <c r="P67" s="69"/>
      <c r="Q67" s="69"/>
    </row>
    <row r="68" ht="303" customHeight="1" spans="1:17">
      <c r="A68" s="70" t="s">
        <v>114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2"/>
    </row>
    <row r="69" ht="111" customHeight="1" spans="1:17">
      <c r="A69" s="73" t="s">
        <v>115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5"/>
    </row>
    <row r="70" ht="150" customHeight="1" spans="1:17">
      <c r="A70" s="76" t="s">
        <v>116</v>
      </c>
      <c r="B70" s="77"/>
      <c r="C70" s="74" t="str">
        <f>_xlfn.DISPIMG("ID_3737CE24C50E4053AAD262A872EA4A24",1)</f>
        <v>=DISPIMG("ID_3737CE24C50E4053AAD262A872EA4A24",1)</v>
      </c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5"/>
      <c r="P70" s="29"/>
    </row>
    <row r="71" ht="150" customHeight="1" spans="1:17">
      <c r="A71" s="78" t="s">
        <v>117</v>
      </c>
      <c r="B71" s="79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1"/>
      <c r="P71" s="29"/>
    </row>
    <row r="72" ht="46" customHeight="1" spans="1:17">
      <c r="B72" s="82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ht="46" customHeight="1" spans="1:17">
      <c r="A73" s="82"/>
      <c r="B73" s="82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ht="46" customHeight="1" spans="1:17">
      <c r="A74" s="82"/>
      <c r="B74" s="82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</row>
    <row r="75" ht="46" customHeight="1"/>
    <row r="76" ht="46" customHeight="1"/>
    <row r="77" ht="46" customHeight="1"/>
    <row r="78" ht="46" customHeight="1"/>
    <row r="79" ht="46" customHeight="1"/>
  </sheetData>
  <autoFilter xmlns:etc="http://www.wps.cn/officeDocument/2017/etCustomData" ref="A7:O71" etc:filterBottomFollowUsedRange="0">
    <extLst/>
  </autoFilter>
  <mergeCells count="30">
    <mergeCell ref="D3:O3"/>
    <mergeCell ref="A4:C4"/>
    <mergeCell ref="D4:O4"/>
    <mergeCell ref="A5:O5"/>
    <mergeCell ref="A61:B61"/>
    <mergeCell ref="C61:M61"/>
    <mergeCell ref="A62:B62"/>
    <mergeCell ref="C62:M62"/>
    <mergeCell ref="A63:B63"/>
    <mergeCell ref="C63:M63"/>
    <mergeCell ref="A64:B64"/>
    <mergeCell ref="C64:M64"/>
    <mergeCell ref="A65:B65"/>
    <mergeCell ref="C65:O65"/>
    <mergeCell ref="A66:B66"/>
    <mergeCell ref="C66:G66"/>
    <mergeCell ref="I66:J66"/>
    <mergeCell ref="K66:O66"/>
    <mergeCell ref="A67:B67"/>
    <mergeCell ref="C67:G67"/>
    <mergeCell ref="I67:J67"/>
    <mergeCell ref="K67:O67"/>
    <mergeCell ref="A68:O68"/>
    <mergeCell ref="A69:O69"/>
    <mergeCell ref="A70:B70"/>
    <mergeCell ref="C70:O70"/>
    <mergeCell ref="A71:B71"/>
    <mergeCell ref="C71:O71"/>
    <mergeCell ref="D1:O2"/>
    <mergeCell ref="A1:C3"/>
  </mergeCells>
  <conditionalFormatting sqref="F8">
    <cfRule type="duplicateValues" dxfId="0" priority="48"/>
  </conditionalFormatting>
  <conditionalFormatting sqref="F11">
    <cfRule type="duplicateValues" dxfId="0" priority="44"/>
  </conditionalFormatting>
  <conditionalFormatting sqref="F12">
    <cfRule type="duplicateValues" dxfId="0" priority="45"/>
  </conditionalFormatting>
  <conditionalFormatting sqref="F13">
    <cfRule type="duplicateValues" dxfId="0" priority="15"/>
  </conditionalFormatting>
  <conditionalFormatting sqref="F14">
    <cfRule type="duplicateValues" dxfId="0" priority="23"/>
  </conditionalFormatting>
  <conditionalFormatting sqref="F15">
    <cfRule type="duplicateValues" dxfId="0" priority="42"/>
  </conditionalFormatting>
  <conditionalFormatting sqref="F16">
    <cfRule type="duplicateValues" dxfId="0" priority="39"/>
  </conditionalFormatting>
  <conditionalFormatting sqref="F19">
    <cfRule type="duplicateValues" dxfId="0" priority="41"/>
  </conditionalFormatting>
  <conditionalFormatting sqref="F20">
    <cfRule type="duplicateValues" dxfId="0" priority="34"/>
  </conditionalFormatting>
  <conditionalFormatting sqref="F21">
    <cfRule type="duplicateValues" dxfId="0" priority="35"/>
  </conditionalFormatting>
  <conditionalFormatting sqref="F22">
    <cfRule type="duplicateValues" dxfId="0" priority="37"/>
  </conditionalFormatting>
  <conditionalFormatting sqref="F23">
    <cfRule type="duplicateValues" dxfId="0" priority="18"/>
  </conditionalFormatting>
  <conditionalFormatting sqref="F24">
    <cfRule type="duplicateValues" dxfId="0" priority="17"/>
  </conditionalFormatting>
  <conditionalFormatting sqref="F25">
    <cfRule type="duplicateValues" dxfId="0" priority="16"/>
  </conditionalFormatting>
  <conditionalFormatting sqref="F27">
    <cfRule type="duplicateValues" dxfId="0" priority="32"/>
  </conditionalFormatting>
  <conditionalFormatting sqref="F28">
    <cfRule type="duplicateValues" dxfId="0" priority="28"/>
  </conditionalFormatting>
  <conditionalFormatting sqref="F29">
    <cfRule type="duplicateValues" dxfId="0" priority="21"/>
  </conditionalFormatting>
  <conditionalFormatting sqref="F30">
    <cfRule type="duplicateValues" dxfId="0" priority="30"/>
  </conditionalFormatting>
  <conditionalFormatting sqref="F31">
    <cfRule type="duplicateValues" dxfId="0" priority="14"/>
  </conditionalFormatting>
  <conditionalFormatting sqref="F32">
    <cfRule type="duplicateValues" dxfId="0" priority="29"/>
  </conditionalFormatting>
  <conditionalFormatting sqref="F33">
    <cfRule type="duplicateValues" dxfId="0" priority="27"/>
  </conditionalFormatting>
  <conditionalFormatting sqref="F34">
    <cfRule type="duplicateValues" dxfId="0" priority="26"/>
  </conditionalFormatting>
  <conditionalFormatting sqref="F35">
    <cfRule type="duplicateValues" dxfId="0" priority="25"/>
  </conditionalFormatting>
  <conditionalFormatting sqref="F37">
    <cfRule type="duplicateValues" dxfId="0" priority="1"/>
    <cfRule type="duplicateValues" dxfId="0" priority="2"/>
  </conditionalFormatting>
  <conditionalFormatting sqref="F38">
    <cfRule type="duplicateValues" dxfId="0" priority="89"/>
  </conditionalFormatting>
  <conditionalFormatting sqref="F39">
    <cfRule type="duplicateValues" dxfId="0" priority="87"/>
  </conditionalFormatting>
  <conditionalFormatting sqref="F40">
    <cfRule type="duplicateValues" dxfId="0" priority="85"/>
  </conditionalFormatting>
  <conditionalFormatting sqref="F41">
    <cfRule type="duplicateValues" dxfId="0" priority="83"/>
  </conditionalFormatting>
  <conditionalFormatting sqref="F42">
    <cfRule type="duplicateValues" dxfId="0" priority="81"/>
  </conditionalFormatting>
  <conditionalFormatting sqref="F43">
    <cfRule type="duplicateValues" dxfId="0" priority="79"/>
  </conditionalFormatting>
  <conditionalFormatting sqref="F44">
    <cfRule type="duplicateValues" dxfId="0" priority="77"/>
  </conditionalFormatting>
  <conditionalFormatting sqref="F45">
    <cfRule type="duplicateValues" dxfId="0" priority="52"/>
  </conditionalFormatting>
  <conditionalFormatting sqref="F47">
    <cfRule type="duplicateValues" dxfId="0" priority="73"/>
  </conditionalFormatting>
  <conditionalFormatting sqref="F48">
    <cfRule type="duplicateValues" dxfId="0" priority="71"/>
  </conditionalFormatting>
  <conditionalFormatting sqref="F49">
    <cfRule type="duplicateValues" dxfId="0" priority="69"/>
  </conditionalFormatting>
  <conditionalFormatting sqref="F50">
    <cfRule type="duplicateValues" dxfId="0" priority="67"/>
  </conditionalFormatting>
  <conditionalFormatting sqref="F51">
    <cfRule type="duplicateValues" dxfId="0" priority="65"/>
  </conditionalFormatting>
  <conditionalFormatting sqref="F52">
    <cfRule type="duplicateValues" dxfId="0" priority="63"/>
  </conditionalFormatting>
  <conditionalFormatting sqref="F53">
    <cfRule type="duplicateValues" dxfId="0" priority="61"/>
  </conditionalFormatting>
  <conditionalFormatting sqref="F54">
    <cfRule type="duplicateValues" dxfId="0" priority="59"/>
  </conditionalFormatting>
  <conditionalFormatting sqref="F55">
    <cfRule type="duplicateValues" dxfId="0" priority="58"/>
  </conditionalFormatting>
  <conditionalFormatting sqref="F56">
    <cfRule type="duplicateValues" dxfId="0" priority="5"/>
    <cfRule type="duplicateValues" dxfId="0" priority="6"/>
  </conditionalFormatting>
  <conditionalFormatting sqref="F57">
    <cfRule type="duplicateValues" dxfId="0" priority="3"/>
    <cfRule type="duplicateValues" dxfId="0" priority="4"/>
  </conditionalFormatting>
  <conditionalFormatting sqref="F59">
    <cfRule type="duplicateValues" dxfId="0" priority="13"/>
  </conditionalFormatting>
  <conditionalFormatting sqref="F9:F10">
    <cfRule type="duplicateValues" dxfId="0" priority="47"/>
  </conditionalFormatting>
  <conditionalFormatting sqref="F17:F18">
    <cfRule type="duplicateValues" dxfId="0" priority="103"/>
  </conditionalFormatting>
  <conditionalFormatting sqref="F58 F60">
    <cfRule type="duplicateValues" dxfId="0" priority="50"/>
  </conditionalFormatting>
  <printOptions horizontalCentered="1"/>
  <pageMargins left="0.751388888888889" right="0.751388888888889" top="1" bottom="1" header="0.5" footer="0.5"/>
  <pageSetup paperSize="9" scale="22" fitToHeight="0" orientation="portrait" horizontalDpi="600"/>
  <headerFooter/>
  <ignoredErrors>
    <ignoredError sqref="P48:Q55 P39:Q44 A62:Q69 A70:B70 D70:Q70 A71:Q79 A61:M61 B60:N60 B59:E59 F58:H58 J58 B58:D58 M54:N55 B54:J55 F53:J53 B53:D53 L52:N53 L50:M50 L47:N49 B48:D50 B45:N46 B39:J44 I38:J38 F38 B38:D38 B35:J36 F34:J34 B34:D34 B33:J33 D30:J31 D32:E32 B30:B32 F29:J29 B29:D29 B23:J28 F22:J22 B22:D22 B19:E19 B20:J21 F17:J18 B17:D18 B14:J16 F12:J13 B12:D13 L11:N18 L20:N31 L33:N36 B11:J11 L9 I9:J9 F9 P9:Q9 L8:N8 F8:J8 B8:D9 A1:Q7 P29:Q35 L58:N58 L39:N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IMIP</dc:creator>
  <cp:lastModifiedBy>。</cp:lastModifiedBy>
  <dcterms:created xsi:type="dcterms:W3CDTF">2015-06-25T10:17:00Z</dcterms:created>
  <dcterms:modified xsi:type="dcterms:W3CDTF">2026-06-25T10:54:06Z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42C8A8CD136B46C291AA8C83DFD56932_13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