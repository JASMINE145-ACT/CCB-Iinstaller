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'Sheet1'!$A$7:$O$28</definedName>
    <definedName name="_xlnm.Print_Area" localSheetId="0">'Sheet1'!$A$1:$O$28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Rp-421]#,##0;\-[$Rp-421]#,##0"/>
    <numFmt numFmtId="165" formatCode="yyyy/m/d;@"/>
    <numFmt numFmtId="166" formatCode="#,##0.0_);\(#,##0.0\)"/>
  </numFmts>
  <fonts count="4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宋体"/>
      <charset val="134"/>
      <b val="1"/>
      <color rgb="FFFF0000"/>
      <sz val="72"/>
    </font>
    <font>
      <name val="宋体"/>
      <charset val="134"/>
      <b val="1"/>
      <sz val="62"/>
    </font>
    <font>
      <name val="微软雅黑"/>
      <charset val="134"/>
      <b val="1"/>
      <sz val="22"/>
    </font>
    <font>
      <name val="微软雅黑"/>
      <charset val="134"/>
      <b val="1"/>
      <sz val="18"/>
    </font>
    <font>
      <name val="华文仿宋"/>
      <charset val="134"/>
      <sz val="72"/>
    </font>
    <font>
      <name val="微软雅黑"/>
      <charset val="134"/>
      <b val="1"/>
      <color theme="1"/>
      <sz val="18"/>
    </font>
    <font>
      <name val="微软雅黑"/>
      <charset val="134"/>
      <b val="1"/>
      <color theme="1"/>
      <sz val="48"/>
    </font>
    <font>
      <name val="微软雅黑"/>
      <charset val="134"/>
      <b val="1"/>
      <color theme="1"/>
      <sz val="20"/>
    </font>
    <font>
      <name val="微软雅黑"/>
      <charset val="134"/>
      <b val="1"/>
      <color theme="1"/>
      <sz val="14"/>
    </font>
    <font>
      <name val="微软雅黑"/>
      <charset val="134"/>
      <color theme="1"/>
      <sz val="14"/>
    </font>
    <font>
      <name val="微软雅黑"/>
      <charset val="134"/>
      <b val="1"/>
      <sz val="14"/>
    </font>
    <font>
      <name val="微软雅黑"/>
      <charset val="134"/>
      <sz val="14"/>
    </font>
    <font>
      <name val="Segoe UI"/>
      <charset val="134"/>
      <color rgb="FF000000"/>
      <sz val="18"/>
    </font>
    <font>
      <name val="微软雅黑"/>
      <charset val="134"/>
      <b val="1"/>
      <sz val="16"/>
    </font>
    <font>
      <name val="等线"/>
      <charset val="134"/>
      <sz val="16"/>
      <scheme val="minor"/>
    </font>
    <font>
      <name val="Arial"/>
      <charset val="134"/>
      <sz val="12"/>
    </font>
    <font>
      <name val="Arial"/>
      <charset val="134"/>
      <b val="1"/>
      <sz val="16"/>
    </font>
    <font>
      <name val="Arial"/>
      <charset val="134"/>
      <b val="1"/>
      <sz val="12"/>
    </font>
    <font>
      <name val="微软雅黑"/>
      <charset val="134"/>
      <b val="1"/>
      <sz val="24"/>
    </font>
    <font>
      <name val="微软雅黑"/>
      <charset val="134"/>
      <b val="1"/>
      <color rgb="FFFF0000"/>
      <sz val="18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b val="1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2" borderId="25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26" applyAlignment="1">
      <alignment vertical="center"/>
    </xf>
    <xf numFmtId="0" fontId="28" fillId="0" borderId="26" applyAlignment="1">
      <alignment vertical="center"/>
    </xf>
    <xf numFmtId="0" fontId="29" fillId="0" borderId="27" applyAlignment="1">
      <alignment vertical="center"/>
    </xf>
    <xf numFmtId="0" fontId="29" fillId="0" borderId="0" applyAlignment="1">
      <alignment vertical="center"/>
    </xf>
    <xf numFmtId="0" fontId="30" fillId="3" borderId="28" applyAlignment="1">
      <alignment vertical="center"/>
    </xf>
    <xf numFmtId="0" fontId="31" fillId="4" borderId="29" applyAlignment="1">
      <alignment vertical="center"/>
    </xf>
    <xf numFmtId="0" fontId="32" fillId="4" borderId="28" applyAlignment="1">
      <alignment vertical="center"/>
    </xf>
    <xf numFmtId="0" fontId="33" fillId="5" borderId="30" applyAlignment="1">
      <alignment vertical="center"/>
    </xf>
    <xf numFmtId="0" fontId="34" fillId="0" borderId="31" applyAlignment="1">
      <alignment vertical="center"/>
    </xf>
    <xf numFmtId="0" fontId="35" fillId="0" borderId="32" applyAlignment="1">
      <alignment vertical="center"/>
    </xf>
    <xf numFmtId="0" fontId="36" fillId="6" borderId="0" applyAlignment="1">
      <alignment vertical="center"/>
    </xf>
    <xf numFmtId="0" fontId="37" fillId="7" borderId="0" applyAlignment="1">
      <alignment vertical="center"/>
    </xf>
    <xf numFmtId="0" fontId="38" fillId="8" borderId="0" applyAlignment="1">
      <alignment vertical="center"/>
    </xf>
    <xf numFmtId="0" fontId="39" fillId="9" borderId="0" applyAlignment="1">
      <alignment vertical="center"/>
    </xf>
    <xf numFmtId="0" fontId="40" fillId="10" borderId="0" applyAlignment="1">
      <alignment vertical="center"/>
    </xf>
    <xf numFmtId="0" fontId="40" fillId="11" borderId="0" applyAlignment="1">
      <alignment vertical="center"/>
    </xf>
    <xf numFmtId="0" fontId="39" fillId="12" borderId="0" applyAlignment="1">
      <alignment vertical="center"/>
    </xf>
    <xf numFmtId="0" fontId="39" fillId="13" borderId="0" applyAlignment="1">
      <alignment vertical="center"/>
    </xf>
    <xf numFmtId="0" fontId="40" fillId="14" borderId="0" applyAlignment="1">
      <alignment vertical="center"/>
    </xf>
    <xf numFmtId="0" fontId="40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40" fillId="18" borderId="0" applyAlignment="1">
      <alignment vertical="center"/>
    </xf>
    <xf numFmtId="0" fontId="40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40" fillId="22" borderId="0" applyAlignment="1">
      <alignment vertical="center"/>
    </xf>
    <xf numFmtId="0" fontId="40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40" fillId="26" borderId="0" applyAlignment="1">
      <alignment vertical="center"/>
    </xf>
    <xf numFmtId="0" fontId="40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40" fillId="30" borderId="0" applyAlignment="1">
      <alignment vertical="center"/>
    </xf>
    <xf numFmtId="0" fontId="40" fillId="31" borderId="0" applyAlignment="1">
      <alignment vertical="center"/>
    </xf>
    <xf numFmtId="0" fontId="39" fillId="32" borderId="0" applyAlignment="1">
      <alignment vertical="center"/>
    </xf>
    <xf numFmtId="166" fontId="0" fillId="0" borderId="0" applyAlignment="1">
      <alignment vertical="center"/>
    </xf>
    <xf numFmtId="0" fontId="0" fillId="0" borderId="0"/>
  </cellStyleXfs>
  <cellXfs count="9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164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5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49" fontId="14" fillId="0" borderId="7" applyAlignment="1" pivotButton="0" quotePrefix="0" xfId="0">
      <alignment horizontal="center" vertical="center" wrapText="1"/>
    </xf>
    <xf numFmtId="164" fontId="13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wrapText="1"/>
    </xf>
    <xf numFmtId="49" fontId="13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50">
      <alignment horizontal="center" vertical="center" wrapText="1"/>
    </xf>
    <xf numFmtId="0" fontId="13" fillId="0" borderId="7" applyAlignment="1" pivotButton="0" quotePrefix="0" xfId="50">
      <alignment horizontal="center" vertical="center" wrapText="1"/>
    </xf>
    <xf numFmtId="0" fontId="15" fillId="0" borderId="6" applyAlignment="1" pivotButton="0" quotePrefix="0" xfId="5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8" fillId="0" borderId="6" applyAlignment="1" pivotButton="0" quotePrefix="0" xfId="50">
      <alignment horizontal="center" vertical="center" wrapText="1"/>
    </xf>
    <xf numFmtId="0" fontId="19" fillId="0" borderId="7" applyAlignment="1" pivotButton="0" quotePrefix="0" xfId="50">
      <alignment horizontal="center" vertical="center" wrapText="1"/>
    </xf>
    <xf numFmtId="0" fontId="15" fillId="0" borderId="7" applyAlignment="1" pivotButton="0" quotePrefix="0" xfId="50">
      <alignment horizontal="center" vertical="center" wrapText="1"/>
    </xf>
    <xf numFmtId="165" fontId="5" fillId="0" borderId="7" applyAlignment="1" pivotButton="0" quotePrefix="0" xfId="50">
      <alignment horizontal="center" vertical="center" wrapText="1"/>
    </xf>
    <xf numFmtId="165" fontId="5" fillId="0" borderId="8" applyAlignment="1" pivotButton="0" quotePrefix="0" xfId="50">
      <alignment horizontal="center" vertical="center" wrapText="1"/>
    </xf>
    <xf numFmtId="165" fontId="19" fillId="0" borderId="0" applyAlignment="1" pivotButton="0" quotePrefix="0" xfId="50">
      <alignment vertical="center" wrapText="1"/>
    </xf>
    <xf numFmtId="0" fontId="1" fillId="0" borderId="7" applyAlignment="1" pivotButton="0" quotePrefix="0" xfId="0">
      <alignment horizontal="center" vertical="center" wrapText="1"/>
    </xf>
    <xf numFmtId="0" fontId="20" fillId="0" borderId="19" applyAlignment="1" pivotButton="0" quotePrefix="0" xfId="50">
      <alignment horizontal="center" vertical="center" wrapText="1"/>
    </xf>
    <xf numFmtId="0" fontId="20" fillId="0" borderId="20" applyAlignment="1" pivotButton="0" quotePrefix="0" xfId="50">
      <alignment horizontal="center" vertical="center" wrapText="1"/>
    </xf>
    <xf numFmtId="0" fontId="20" fillId="0" borderId="21" applyAlignment="1" pivotButton="0" quotePrefix="0" xfId="50">
      <alignment horizontal="center" vertical="center" wrapText="1"/>
    </xf>
    <xf numFmtId="0" fontId="1" fillId="0" borderId="0" applyAlignment="1" pivotButton="0" quotePrefix="0" xfId="0">
      <alignment vertical="center"/>
    </xf>
    <xf numFmtId="0" fontId="21" fillId="0" borderId="6" applyAlignment="1" pivotButton="0" quotePrefix="0" xfId="0">
      <alignment horizontal="left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35" pivotButton="0" quotePrefix="0" xfId="0"/>
    <xf numFmtId="0" fontId="2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164" fontId="11" fillId="0" borderId="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0" pivotButton="0" quotePrefix="0" xfId="0"/>
    <xf numFmtId="164" fontId="13" fillId="0" borderId="7" applyAlignment="1" pivotButton="0" quotePrefix="0" xfId="0">
      <alignment horizontal="center" vertical="center" wrapText="1"/>
    </xf>
    <xf numFmtId="165" fontId="5" fillId="0" borderId="7" applyAlignment="1" pivotButton="0" quotePrefix="0" xfId="50">
      <alignment horizontal="center" vertical="center" wrapText="1"/>
    </xf>
    <xf numFmtId="165" fontId="19" fillId="0" borderId="0" applyAlignment="1" pivotButton="0" quotePrefix="0" xfId="50">
      <alignment vertical="center" wrapText="1"/>
    </xf>
    <xf numFmtId="0" fontId="20" fillId="0" borderId="8" applyAlignment="1" pivotButton="0" quotePrefix="0" xfId="50">
      <alignment horizontal="center" vertical="center" wrapText="1"/>
    </xf>
    <xf numFmtId="0" fontId="0" fillId="0" borderId="21" pivotButton="0" quotePrefix="0" xfId="0"/>
    <xf numFmtId="0" fontId="0" fillId="0" borderId="40" pivotButton="0" quotePrefix="0" xfId="0"/>
    <xf numFmtId="0" fontId="0" fillId="0" borderId="4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</sheetPr>
  <dimension ref="A1:R37"/>
  <sheetViews>
    <sheetView tabSelected="1" view="normal" topLeftCell="A4" zoomScale="40" zoomScaleNormal="25" workbookViewId="0">
      <selection activeCell="K12" sqref="K12"/>
    </sheetView>
  </sheetViews>
  <sheetFormatPr baseColWidth="8" defaultColWidth="14.4916666666667" defaultRowHeight="37" customHeight="1"/>
  <cols>
    <col width="14.4916666666667" customWidth="1" style="27" min="1" max="1"/>
    <col width="32.725" customWidth="1" style="27" min="2" max="2"/>
    <col width="25" customWidth="1" style="27" min="3" max="3"/>
    <col width="17.9583333333333" customWidth="1" style="27" min="4" max="5"/>
    <col width="27.5" customWidth="1" style="27" min="6" max="6"/>
    <col width="42.5" customWidth="1" style="27" min="7" max="7"/>
    <col width="39.5416666666667" customWidth="1" style="27" min="8" max="8"/>
    <col width="19.3166666666667" customWidth="1" style="27" min="9" max="9"/>
    <col width="18.1833333333333" customWidth="1" style="27" min="10" max="10"/>
    <col width="15" customWidth="1" style="27" min="11" max="11"/>
    <col width="15.9083333333333" customWidth="1" style="27" min="12" max="12"/>
    <col width="15.225" customWidth="1" style="27" min="13" max="13"/>
    <col width="39.5416666666667" customWidth="1" style="27" min="14" max="14"/>
    <col width="38.8666666666667" customWidth="1" style="27" min="15" max="15"/>
    <col width="14.4916666666667" customWidth="1" style="27" min="16" max="16376"/>
  </cols>
  <sheetData>
    <row r="1" ht="78" customHeight="1" s="27">
      <c r="A1" s="1">
        <f>_xlfn.DISPIMG("ID_E5F16E92F4164DD3808EB5806117DC00",1)</f>
        <v/>
      </c>
      <c r="B1" s="74" t="n"/>
      <c r="C1" s="75" t="n"/>
      <c r="D1" s="76" t="inlineStr">
        <is>
          <t>PT. VANTSING INTERNATIONAL GROUP</t>
        </is>
      </c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7" t="n"/>
    </row>
    <row r="2" ht="181" customHeight="1" s="27">
      <c r="A2" s="78" t="n"/>
      <c r="C2" s="79" t="n"/>
      <c r="O2" s="80" t="n"/>
    </row>
    <row r="3" ht="136" customHeight="1" s="27">
      <c r="A3" s="81" t="n"/>
      <c r="B3" s="82" t="n"/>
      <c r="C3" s="83" t="n"/>
      <c r="D3" s="84" t="inlineStr">
        <is>
          <t>Address 地址：                        Soldays X Lesso    Jl. Raya Daan Mogot No 1 RT 06 Rw 02, Samping Rusun Polri RQR9 H7P RT06RW02,
                                                                                       North Kedoya Kebonjeruk, West Jakarta, DKI Jakarta, 11520.</t>
        </is>
      </c>
      <c r="O3" s="80" t="n"/>
    </row>
    <row r="4" ht="98" customHeight="1" s="27">
      <c r="A4" s="15" t="inlineStr">
        <is>
          <t>万鼎</t>
        </is>
      </c>
      <c r="B4" s="85" t="n"/>
      <c r="C4" s="86" t="n"/>
      <c r="D4" s="19" t="inlineStr">
        <is>
          <t>Contact Person联系人：Rubi                                       Contact Number / 联系电话 ： +62 878-2061-8709                                                     Mail：vantsing@vtintl.id</t>
        </is>
      </c>
      <c r="O4" s="80" t="n"/>
    </row>
    <row r="5" ht="130" customHeight="1" s="27">
      <c r="A5" s="20" t="inlineStr">
        <is>
          <t>报价单
PENAWARAN HARGA</t>
        </is>
      </c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8" t="n"/>
    </row>
    <row r="6" ht="80" customHeight="1" s="27">
      <c r="A6" s="23" t="inlineStr">
        <is>
          <t>NO</t>
        </is>
      </c>
      <c r="B6" s="24" t="inlineStr">
        <is>
          <t>Nama Permintaan</t>
        </is>
      </c>
      <c r="C6" s="25" t="inlineStr">
        <is>
          <t>Spesifikasi
Permintaan</t>
        </is>
      </c>
      <c r="D6" s="25" t="inlineStr">
        <is>
          <t>Satuan</t>
        </is>
      </c>
      <c r="E6" s="25" t="inlineStr">
        <is>
          <t>QTY</t>
        </is>
      </c>
      <c r="F6" s="25" t="inlineStr">
        <is>
          <t>Product
number</t>
        </is>
      </c>
      <c r="G6" s="25" t="inlineStr">
        <is>
          <t>Nama Penawaran</t>
        </is>
      </c>
      <c r="H6" s="25" t="inlineStr">
        <is>
          <t>Nama Indonesia</t>
        </is>
      </c>
      <c r="I6" s="25" t="inlineStr">
        <is>
          <t>Spesifikasi
Penawaran</t>
        </is>
      </c>
      <c r="J6" s="25" t="inlineStr">
        <is>
          <t>Satuan</t>
        </is>
      </c>
      <c r="K6" s="25" t="inlineStr">
        <is>
          <t>QTY</t>
        </is>
      </c>
      <c r="L6" s="25" t="inlineStr">
        <is>
          <t>Brand</t>
        </is>
      </c>
      <c r="M6" s="25" t="inlineStr">
        <is>
          <t>Harga</t>
        </is>
      </c>
      <c r="N6" s="25" t="inlineStr">
        <is>
          <t>Total Harga</t>
        </is>
      </c>
      <c r="O6" s="26" t="inlineStr">
        <is>
          <t>Catatan</t>
        </is>
      </c>
    </row>
    <row r="7" ht="80" customHeight="1" s="27">
      <c r="A7" s="64" t="inlineStr">
        <is>
          <t>序号</t>
        </is>
      </c>
      <c r="B7" s="65" t="inlineStr">
        <is>
          <t>询价名称</t>
        </is>
      </c>
      <c r="C7" s="65" t="inlineStr">
        <is>
          <t>询价规格</t>
        </is>
      </c>
      <c r="D7" s="65" t="inlineStr">
        <is>
          <t>单位</t>
        </is>
      </c>
      <c r="E7" s="65" t="inlineStr">
        <is>
          <t>数量</t>
        </is>
      </c>
      <c r="F7" s="65" t="inlineStr">
        <is>
          <t>产品编号</t>
        </is>
      </c>
      <c r="G7" s="65" t="inlineStr">
        <is>
          <t>报价名称</t>
        </is>
      </c>
      <c r="H7" s="65" t="inlineStr">
        <is>
          <t>印尼名称</t>
        </is>
      </c>
      <c r="I7" s="65" t="inlineStr">
        <is>
          <t>报价规格</t>
        </is>
      </c>
      <c r="J7" s="65" t="inlineStr">
        <is>
          <t>单位</t>
        </is>
      </c>
      <c r="K7" s="65" t="inlineStr">
        <is>
          <t>数量</t>
        </is>
      </c>
      <c r="L7" s="65" t="inlineStr">
        <is>
          <t>品牌</t>
        </is>
      </c>
      <c r="M7" s="65" t="inlineStr">
        <is>
          <t>单价</t>
        </is>
      </c>
      <c r="N7" s="65" t="inlineStr">
        <is>
          <t>总额</t>
        </is>
      </c>
      <c r="O7" s="66" t="inlineStr">
        <is>
          <t>备注</t>
        </is>
      </c>
    </row>
    <row r="8" ht="80" customHeight="1" s="27">
      <c r="A8" s="31" t="n">
        <v>1</v>
      </c>
      <c r="B8" s="32" t="inlineStr">
        <is>
          <t>直接50</t>
        </is>
      </c>
      <c r="C8" s="32" t="inlineStr">
        <is>
          <t>直接50</t>
        </is>
      </c>
      <c r="D8" s="32" t="inlineStr">
        <is>
          <t>pcs</t>
        </is>
      </c>
      <c r="E8" s="32" t="n">
        <v>10</v>
      </c>
      <c r="F8" s="32" t="inlineStr">
        <is>
          <t>8020020755</t>
        </is>
      </c>
      <c r="G8" s="33" t="inlineStr">
        <is>
          <t>直通(管箍)PVC-U排水配件白色 dn50</t>
        </is>
      </c>
      <c r="H8" s="33" t="n"/>
      <c r="I8" s="32" t="inlineStr">
        <is>
          <t>dn50</t>
        </is>
      </c>
      <c r="J8" s="32" t="inlineStr">
        <is>
          <t>pcs</t>
        </is>
      </c>
      <c r="K8" s="32" t="n">
        <v>10</v>
      </c>
      <c r="L8" s="32" t="inlineStr">
        <is>
          <t>LESSO</t>
        </is>
      </c>
      <c r="M8" s="89" t="n">
        <v>1219</v>
      </c>
      <c r="N8" s="89">
        <f>M8*K8</f>
        <v/>
      </c>
      <c r="O8" s="35" t="n"/>
    </row>
    <row r="9" ht="80" customHeight="1" s="27">
      <c r="A9" s="31" t="n">
        <v>2</v>
      </c>
      <c r="B9" s="32" t="inlineStr">
        <is>
          <t>直接75</t>
        </is>
      </c>
      <c r="C9" s="32" t="inlineStr">
        <is>
          <t>直接75</t>
        </is>
      </c>
      <c r="D9" s="32" t="inlineStr">
        <is>
          <t>pcs</t>
        </is>
      </c>
      <c r="E9" s="32" t="n">
        <v>10</v>
      </c>
      <c r="F9" s="32" t="inlineStr">
        <is>
          <t>8010024552</t>
        </is>
      </c>
      <c r="G9" s="33" t="inlineStr">
        <is>
          <t>直通印尼(日标)PVC-U管件(AW给水系列)灰色 DN75 (3") 联塑</t>
        </is>
      </c>
      <c r="H9" s="33" t="n"/>
      <c r="I9" s="32" t="inlineStr">
        <is>
          <t>dn75</t>
        </is>
      </c>
      <c r="J9" s="32" t="inlineStr">
        <is>
          <t>pcs</t>
        </is>
      </c>
      <c r="K9" s="32" t="n">
        <v>10</v>
      </c>
      <c r="L9" s="32" t="inlineStr">
        <is>
          <t>LESSO</t>
        </is>
      </c>
      <c r="M9" s="89" t="n">
        <v>20123</v>
      </c>
      <c r="N9" s="89">
        <f>M9*K9</f>
        <v/>
      </c>
      <c r="O9" s="35" t="n"/>
    </row>
    <row r="10" ht="80" customHeight="1" s="27">
      <c r="A10" s="36" t="n">
        <v>3</v>
      </c>
      <c r="B10" s="32" t="inlineStr">
        <is>
          <t>弯头50</t>
        </is>
      </c>
      <c r="C10" s="32" t="inlineStr">
        <is>
          <t>弯头50</t>
        </is>
      </c>
      <c r="D10" s="32" t="inlineStr">
        <is>
          <t>pcs</t>
        </is>
      </c>
      <c r="E10" s="32" t="n">
        <v>10</v>
      </c>
      <c r="F10" s="32" t="inlineStr">
        <is>
          <t>8020020643</t>
        </is>
      </c>
      <c r="G10" s="33" t="inlineStr">
        <is>
          <t>90°弯头(带检查口)PVC-U排水配件白色 dn50</t>
        </is>
      </c>
      <c r="H10" s="33" t="n"/>
      <c r="I10" s="32" t="inlineStr">
        <is>
          <t>dn50</t>
        </is>
      </c>
      <c r="J10" s="32" t="inlineStr">
        <is>
          <t>pcs</t>
        </is>
      </c>
      <c r="K10" s="32" t="n">
        <v>10</v>
      </c>
      <c r="L10" s="32" t="inlineStr">
        <is>
          <t>LESSO</t>
        </is>
      </c>
      <c r="M10" s="89" t="n">
        <v>3558</v>
      </c>
      <c r="N10" s="89">
        <f>M10*K10</f>
        <v/>
      </c>
      <c r="O10" s="35" t="n"/>
    </row>
    <row r="11" ht="80" customHeight="1" s="27">
      <c r="A11" s="36" t="n">
        <v>4</v>
      </c>
      <c r="B11" s="32" t="inlineStr">
        <is>
          <t>三通50</t>
        </is>
      </c>
      <c r="C11" s="32" t="inlineStr">
        <is>
          <t>三通50</t>
        </is>
      </c>
      <c r="D11" s="32" t="inlineStr">
        <is>
          <t>pcs</t>
        </is>
      </c>
      <c r="E11" s="32" t="n">
        <v>10</v>
      </c>
      <c r="F11" s="32" t="inlineStr">
        <is>
          <t>8020022784</t>
        </is>
      </c>
      <c r="G11" s="33" t="inlineStr">
        <is>
          <t>短型顺水三通印尼(日标)PVC-U管件(D排水系列)灰色 DN50 (2") 联塑</t>
        </is>
      </c>
      <c r="H11" s="33" t="n"/>
      <c r="I11" s="32" t="inlineStr">
        <is>
          <t>dn50</t>
        </is>
      </c>
      <c r="J11" s="32" t="inlineStr">
        <is>
          <t>pcs</t>
        </is>
      </c>
      <c r="K11" s="32" t="n">
        <v>10</v>
      </c>
      <c r="L11" s="32" t="inlineStr">
        <is>
          <t>LESSO</t>
        </is>
      </c>
      <c r="M11" s="89" t="n">
        <v>4869</v>
      </c>
      <c r="N11" s="89">
        <f>M11*K11</f>
        <v/>
      </c>
      <c r="O11" s="35" t="n"/>
    </row>
    <row r="12" ht="80" customHeight="1" s="27">
      <c r="A12" s="36" t="n">
        <v>5</v>
      </c>
      <c r="B12" s="32" t="inlineStr">
        <is>
          <t>直接50</t>
        </is>
      </c>
      <c r="C12" s="32" t="inlineStr">
        <is>
          <t>直接50</t>
        </is>
      </c>
      <c r="D12" s="32" t="inlineStr">
        <is>
          <t>pcs</t>
        </is>
      </c>
      <c r="E12" s="32" t="n">
        <v>10</v>
      </c>
      <c r="F12" s="32" t="inlineStr">
        <is>
          <t>8010071381</t>
        </is>
      </c>
      <c r="G12" s="33" t="inlineStr">
        <is>
          <t>直通(PPR 配件)印尼绿色 dn50 (1-1/2") 联塑</t>
        </is>
      </c>
      <c r="H12" s="33" t="n"/>
      <c r="I12" s="32" t="inlineStr">
        <is>
          <t>dn50</t>
        </is>
      </c>
      <c r="J12" s="32" t="inlineStr">
        <is>
          <t>pcs</t>
        </is>
      </c>
      <c r="K12" s="32" t="n">
        <v>10</v>
      </c>
      <c r="L12" s="32" t="inlineStr">
        <is>
          <t>LESSO</t>
        </is>
      </c>
      <c r="M12" s="89" t="n">
        <v>7604</v>
      </c>
      <c r="N12" s="89">
        <f>M12*K12</f>
        <v/>
      </c>
      <c r="O12" s="35" t="n"/>
    </row>
    <row r="13" ht="80" customHeight="1" s="27">
      <c r="A13" s="36" t="n">
        <v>6</v>
      </c>
      <c r="B13" s="32" t="inlineStr">
        <is>
          <t>直接50</t>
        </is>
      </c>
      <c r="C13" s="32" t="inlineStr">
        <is>
          <t>直接50</t>
        </is>
      </c>
      <c r="D13" s="32" t="inlineStr">
        <is>
          <t>pcs</t>
        </is>
      </c>
      <c r="E13" s="32" t="n">
        <v>10</v>
      </c>
      <c r="F13" s="32" t="inlineStr">
        <is>
          <t>8010024812</t>
        </is>
      </c>
      <c r="G13" s="33" t="inlineStr">
        <is>
          <t>直通印尼(日标)PVC-U管件(AW给水系列)灰色 DN50 (2") 联塑</t>
        </is>
      </c>
      <c r="H13" s="33" t="n"/>
      <c r="I13" s="32" t="inlineStr">
        <is>
          <t>dn50</t>
        </is>
      </c>
      <c r="J13" s="32" t="inlineStr">
        <is>
          <t>pcs</t>
        </is>
      </c>
      <c r="K13" s="32" t="n">
        <v>10</v>
      </c>
      <c r="L13" s="32" t="inlineStr">
        <is>
          <t>LESSO</t>
        </is>
      </c>
      <c r="M13" s="89" t="n">
        <v>8410</v>
      </c>
      <c r="N13" s="89">
        <f>M13*K13</f>
        <v/>
      </c>
      <c r="O13" s="35" t="n"/>
    </row>
    <row r="14" ht="80" customHeight="1" s="27">
      <c r="A14" s="36" t="n">
        <v>7</v>
      </c>
      <c r="B14" s="32" t="inlineStr">
        <is>
          <t>弯头50</t>
        </is>
      </c>
      <c r="C14" s="32" t="inlineStr">
        <is>
          <t>弯头50</t>
        </is>
      </c>
      <c r="D14" s="32" t="inlineStr">
        <is>
          <t>pcs</t>
        </is>
      </c>
      <c r="E14" s="32" t="n">
        <v>10</v>
      </c>
      <c r="F14" s="32" t="inlineStr">
        <is>
          <t>8020022822</t>
        </is>
      </c>
      <c r="G14" s="33" t="inlineStr">
        <is>
          <t>90°弯头印尼(日标)PVC-U管件(D排水系列)灰色 DN50 (2") 联塑</t>
        </is>
      </c>
      <c r="H14" s="33" t="n"/>
      <c r="I14" s="32" t="inlineStr">
        <is>
          <t>dn50</t>
        </is>
      </c>
      <c r="J14" s="32" t="inlineStr">
        <is>
          <t>pcs</t>
        </is>
      </c>
      <c r="K14" s="32" t="n">
        <v>10</v>
      </c>
      <c r="L14" s="32" t="inlineStr">
        <is>
          <t>LESSO</t>
        </is>
      </c>
      <c r="M14" s="89" t="n">
        <v>3768</v>
      </c>
      <c r="N14" s="89">
        <f>M14*K14</f>
        <v/>
      </c>
      <c r="O14" s="35" t="n"/>
    </row>
    <row r="15" ht="80" customHeight="1" s="27">
      <c r="A15" s="36" t="n">
        <v>8</v>
      </c>
      <c r="B15" s="32" t="inlineStr">
        <is>
          <t>直接75</t>
        </is>
      </c>
      <c r="C15" s="32" t="inlineStr">
        <is>
          <t>直接75</t>
        </is>
      </c>
      <c r="D15" s="32" t="inlineStr">
        <is>
          <t>pcs</t>
        </is>
      </c>
      <c r="E15" s="32" t="n">
        <v>10</v>
      </c>
      <c r="F15" s="32" t="inlineStr">
        <is>
          <t>8010042696</t>
        </is>
      </c>
      <c r="G15" s="33" t="inlineStr">
        <is>
          <t>电熔直通鞍型(PE配件)1.6MPa黑色 dn75×63</t>
        </is>
      </c>
      <c r="H15" s="33" t="n"/>
      <c r="I15" s="32" t="inlineStr">
        <is>
          <t>dn75</t>
        </is>
      </c>
      <c r="J15" s="32" t="inlineStr">
        <is>
          <t>pcs</t>
        </is>
      </c>
      <c r="K15" s="32" t="n">
        <v>10</v>
      </c>
      <c r="L15" s="32" t="inlineStr">
        <is>
          <t>LESSO</t>
        </is>
      </c>
      <c r="M15" s="89" t="n">
        <v>95407</v>
      </c>
      <c r="N15" s="89">
        <f>M15*K15</f>
        <v/>
      </c>
      <c r="O15" s="35" t="n"/>
    </row>
    <row r="16" ht="80" customHeight="1" s="27">
      <c r="A16" s="36" t="n">
        <v>9</v>
      </c>
      <c r="B16" s="32" t="inlineStr">
        <is>
          <t>直接50</t>
        </is>
      </c>
      <c r="C16" s="32" t="inlineStr">
        <is>
          <t>直接50</t>
        </is>
      </c>
      <c r="D16" s="32" t="inlineStr">
        <is>
          <t>pcs</t>
        </is>
      </c>
      <c r="E16" s="32" t="n">
        <v>10</v>
      </c>
      <c r="F16" s="32" t="inlineStr">
        <is>
          <t>8010012697</t>
        </is>
      </c>
      <c r="G16" s="33" t="inlineStr">
        <is>
          <t>印尼(日标)PVC-U给水扩直口管(AW给水系列)白色 DN100(4") 4M/根 联塑</t>
        </is>
      </c>
      <c r="H16" s="33" t="n"/>
      <c r="I16" s="32" t="inlineStr">
        <is>
          <t>dn100</t>
        </is>
      </c>
      <c r="J16" s="32" t="inlineStr">
        <is>
          <t>pcs</t>
        </is>
      </c>
      <c r="K16" s="32" t="n">
        <v>10</v>
      </c>
      <c r="L16" s="32" t="inlineStr">
        <is>
          <t>LESSO</t>
        </is>
      </c>
      <c r="M16" s="89" t="n">
        <v>195828</v>
      </c>
      <c r="N16" s="89">
        <f>M16*K16</f>
        <v/>
      </c>
      <c r="O16" s="35" t="n"/>
    </row>
    <row r="17" ht="80" customHeight="1" s="27">
      <c r="A17" s="36" t="n">
        <v>10</v>
      </c>
      <c r="B17" s="32" t="inlineStr">
        <is>
          <t>直接75</t>
        </is>
      </c>
      <c r="C17" s="32" t="inlineStr">
        <is>
          <t>直接75</t>
        </is>
      </c>
      <c r="D17" s="32" t="inlineStr">
        <is>
          <t>pcs</t>
        </is>
      </c>
      <c r="E17" s="32" t="n">
        <v>10</v>
      </c>
      <c r="F17" s="32" t="inlineStr">
        <is>
          <t>8010012697</t>
        </is>
      </c>
      <c r="G17" s="33" t="inlineStr">
        <is>
          <t>印尼(日标)PVC-U给水扩直口管(AW给水系列)白色 DN100(4") 4M/根 联塑</t>
        </is>
      </c>
      <c r="H17" s="33" t="n"/>
      <c r="I17" s="32" t="inlineStr">
        <is>
          <t>dn100</t>
        </is>
      </c>
      <c r="J17" s="32" t="inlineStr">
        <is>
          <t>pcs</t>
        </is>
      </c>
      <c r="K17" s="32" t="n">
        <v>10</v>
      </c>
      <c r="L17" s="32" t="inlineStr">
        <is>
          <t>LESSO</t>
        </is>
      </c>
      <c r="M17" s="89" t="n">
        <v>195828</v>
      </c>
      <c r="N17" s="89">
        <f>M17*K17</f>
        <v/>
      </c>
      <c r="O17" s="35" t="n"/>
    </row>
    <row r="18" ht="80" customHeight="1" s="27">
      <c r="A18" s="36" t="n"/>
      <c r="B18" s="32" t="inlineStr">
        <is>
          <t>三通50</t>
        </is>
      </c>
      <c r="C18" s="32" t="inlineStr">
        <is>
          <t>三通50</t>
        </is>
      </c>
      <c r="D18" s="32" t="inlineStr">
        <is>
          <t>pcs</t>
        </is>
      </c>
      <c r="E18" s="32" t="n">
        <v>10</v>
      </c>
      <c r="F18" s="32" t="inlineStr">
        <is>
          <t>8020020755</t>
        </is>
      </c>
      <c r="G18" s="33" t="inlineStr">
        <is>
          <t>直通(管箍)PVC-U排水配件白色 dn50</t>
        </is>
      </c>
      <c r="H18" s="33" t="n"/>
      <c r="I18" s="32" t="inlineStr">
        <is>
          <t>dn50</t>
        </is>
      </c>
      <c r="J18" s="32" t="inlineStr">
        <is>
          <t>pcs</t>
        </is>
      </c>
      <c r="K18" s="32" t="n">
        <v>10</v>
      </c>
      <c r="L18" s="32" t="inlineStr">
        <is>
          <t>LESSO</t>
        </is>
      </c>
      <c r="M18" s="89" t="n">
        <v>1219</v>
      </c>
      <c r="N18" s="89">
        <f>M18*K18</f>
        <v/>
      </c>
      <c r="O18" s="35" t="n"/>
    </row>
    <row r="19" ht="80" customHeight="1" s="27">
      <c r="A19" s="36" t="n"/>
      <c r="B19" s="32" t="inlineStr">
        <is>
          <t>弯头50</t>
        </is>
      </c>
      <c r="C19" s="32" t="inlineStr">
        <is>
          <t>弯头50</t>
        </is>
      </c>
      <c r="D19" s="32" t="inlineStr">
        <is>
          <t>pcs</t>
        </is>
      </c>
      <c r="E19" s="32" t="n">
        <v>10</v>
      </c>
      <c r="F19" s="32" t="inlineStr">
        <is>
          <t>8010012697</t>
        </is>
      </c>
      <c r="G19" s="33" t="inlineStr">
        <is>
          <t>印尼(日标)PVC-U给水扩直口管(AW给水系列)白色 DN100(4") 4M/根 联塑</t>
        </is>
      </c>
      <c r="H19" s="33" t="n"/>
      <c r="I19" s="32" t="inlineStr">
        <is>
          <t>dn100</t>
        </is>
      </c>
      <c r="J19" s="32" t="inlineStr">
        <is>
          <t>pcs</t>
        </is>
      </c>
      <c r="K19" s="32" t="n">
        <v>10</v>
      </c>
      <c r="L19" s="32" t="inlineStr">
        <is>
          <t>LESSO</t>
        </is>
      </c>
      <c r="M19" s="89" t="n">
        <v>195828</v>
      </c>
      <c r="N19" s="89">
        <f>M19*K19</f>
        <v/>
      </c>
      <c r="O19" s="35" t="n"/>
    </row>
    <row r="20" ht="80" customHeight="1" s="27">
      <c r="A20" s="36" t="n"/>
      <c r="B20" s="32" t="inlineStr">
        <is>
          <t>xxxxx_nonexistent_product_xyz</t>
        </is>
      </c>
      <c r="C20" s="32" t="inlineStr">
        <is>
          <t>xxxxx_nonexistent_product_xyz</t>
        </is>
      </c>
      <c r="D20" s="32" t="inlineStr">
        <is>
          <t>pcs</t>
        </is>
      </c>
      <c r="E20" s="32" t="n">
        <v>10</v>
      </c>
      <c r="F20" s="32" t="inlineStr">
        <is>
          <t>0000000000</t>
        </is>
      </c>
      <c r="G20" s="33" t="inlineStr">
        <is>
          <t>xxxxx_nonexistent_product_xyz</t>
        </is>
      </c>
      <c r="H20" s="33" t="n"/>
      <c r="I20" s="32" t="inlineStr">
        <is>
          <t>xxxxx_nonexistent_product_xyz</t>
        </is>
      </c>
      <c r="J20" s="32" t="inlineStr">
        <is>
          <t>pcs</t>
        </is>
      </c>
      <c r="K20" s="32" t="n">
        <v>10</v>
      </c>
      <c r="L20" s="32" t="inlineStr">
        <is>
          <t>LESSO</t>
        </is>
      </c>
      <c r="M20" s="89" t="n">
        <v>1000</v>
      </c>
      <c r="N20" s="89">
        <f>M20*K20</f>
        <v/>
      </c>
      <c r="O20" s="35" t="n"/>
    </row>
    <row r="21" ht="80" customHeight="1" s="27">
      <c r="A21" s="36" t="n"/>
      <c r="B21" s="32" t="inlineStr">
        <is>
          <t>直接50</t>
        </is>
      </c>
      <c r="C21" s="32" t="inlineStr">
        <is>
          <t>直接50</t>
        </is>
      </c>
      <c r="D21" s="32" t="inlineStr">
        <is>
          <t>pcs</t>
        </is>
      </c>
      <c r="E21" s="32" t="n">
        <v>10</v>
      </c>
      <c r="F21" s="32" t="inlineStr">
        <is>
          <t>8020020755</t>
        </is>
      </c>
      <c r="G21" s="33" t="inlineStr">
        <is>
          <t>直通(管箍)PVC-U排水配件白色 dn50</t>
        </is>
      </c>
      <c r="H21" s="33" t="n"/>
      <c r="I21" s="32" t="inlineStr">
        <is>
          <t>dn50</t>
        </is>
      </c>
      <c r="J21" s="32" t="inlineStr">
        <is>
          <t>pcs</t>
        </is>
      </c>
      <c r="K21" s="32" t="n">
        <v>10</v>
      </c>
      <c r="L21" s="32" t="inlineStr">
        <is>
          <t>LESSO</t>
        </is>
      </c>
      <c r="M21" s="89" t="n">
        <v>1219</v>
      </c>
      <c r="N21" s="89">
        <f>M21*K21</f>
        <v/>
      </c>
      <c r="O21" s="35" t="n"/>
    </row>
    <row r="22" ht="80" customHeight="1" s="27">
      <c r="A22" s="36" t="n"/>
      <c r="B22" s="32" t="inlineStr">
        <is>
          <t>直接75</t>
        </is>
      </c>
      <c r="C22" s="32" t="inlineStr">
        <is>
          <t>直接75</t>
        </is>
      </c>
      <c r="D22" s="32" t="inlineStr">
        <is>
          <t>pcs</t>
        </is>
      </c>
      <c r="E22" s="32" t="n">
        <v>10</v>
      </c>
      <c r="F22" s="32" t="inlineStr">
        <is>
          <t>8010024552</t>
        </is>
      </c>
      <c r="G22" s="33" t="inlineStr">
        <is>
          <t>直通印尼(日标)PVC-U管件(AW给水系列)灰色 DN75 (3") 联塑</t>
        </is>
      </c>
      <c r="H22" s="33" t="n"/>
      <c r="I22" s="32" t="inlineStr">
        <is>
          <t>dn75</t>
        </is>
      </c>
      <c r="J22" s="32" t="inlineStr">
        <is>
          <t>pcs</t>
        </is>
      </c>
      <c r="K22" s="32" t="n">
        <v>10</v>
      </c>
      <c r="L22" s="32" t="inlineStr">
        <is>
          <t>LESSO</t>
        </is>
      </c>
      <c r="M22" s="89" t="n">
        <v>20123</v>
      </c>
      <c r="N22" s="89">
        <f>M22*K22</f>
        <v/>
      </c>
      <c r="O22" s="35" t="n"/>
    </row>
    <row r="23" ht="112" customHeight="1" s="27">
      <c r="A23" s="36" t="n"/>
      <c r="B23" s="32" t="inlineStr">
        <is>
          <t>弯头50</t>
        </is>
      </c>
      <c r="C23" s="32" t="inlineStr">
        <is>
          <t>弯头50</t>
        </is>
      </c>
      <c r="D23" s="32" t="inlineStr">
        <is>
          <t>pcs</t>
        </is>
      </c>
      <c r="E23" s="32" t="n">
        <v>10</v>
      </c>
      <c r="F23" s="32" t="inlineStr">
        <is>
          <t>8020020643</t>
        </is>
      </c>
      <c r="G23" s="33" t="inlineStr">
        <is>
          <t>90°弯头(带检查口)PVC-U排水配件白色 dn50</t>
        </is>
      </c>
      <c r="H23" s="33" t="n"/>
      <c r="I23" s="32" t="inlineStr">
        <is>
          <t>dn50</t>
        </is>
      </c>
      <c r="J23" s="32" t="inlineStr">
        <is>
          <t>pcs</t>
        </is>
      </c>
      <c r="K23" s="32" t="n">
        <v>10</v>
      </c>
      <c r="L23" s="32" t="inlineStr">
        <is>
          <t>LESSO</t>
        </is>
      </c>
      <c r="M23" s="89" t="n">
        <v>3558</v>
      </c>
      <c r="N23" s="89">
        <f>M23*K23</f>
        <v/>
      </c>
      <c r="O23" s="35" t="n"/>
    </row>
    <row r="24" ht="120" customHeight="1" s="27">
      <c r="A24" s="37" t="inlineStr">
        <is>
          <t>Total Excluding PPN不含税总价</t>
        </is>
      </c>
      <c r="B24" s="90" t="n"/>
      <c r="C24" s="39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0" t="n"/>
      <c r="N24" s="92">
        <f>SUM(N8:N23)</f>
        <v/>
      </c>
      <c r="O24" s="41" t="n"/>
    </row>
    <row r="25" ht="303" customHeight="1" s="27">
      <c r="A25" s="37" t="inlineStr">
        <is>
          <t>是否含PPN 11%/ Inc.or Exc.PPN 11%</t>
        </is>
      </c>
      <c r="B25" s="90" t="n"/>
      <c r="C25" s="42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0" t="n"/>
      <c r="N25" s="92">
        <f>N24*0.11</f>
        <v/>
      </c>
      <c r="O25" s="41" t="n"/>
    </row>
    <row r="26" ht="111" customHeight="1" s="27">
      <c r="A26" s="37" t="inlineStr">
        <is>
          <t>运费支付Freight Payment</t>
        </is>
      </c>
      <c r="B26" s="90" t="n"/>
      <c r="C26" s="42" t="n"/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0" t="n"/>
      <c r="N26" s="92" t="n">
        <v>0</v>
      </c>
      <c r="O26" s="41" t="n"/>
    </row>
    <row r="27" ht="150" customHeight="1" s="27">
      <c r="A27" s="37" t="inlineStr">
        <is>
          <t>Total Include PPN (11%)含税总价</t>
        </is>
      </c>
      <c r="B27" s="90" t="n"/>
      <c r="C27" s="44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0" t="n"/>
      <c r="N27" s="92">
        <f>SUM(N24:N26)</f>
        <v/>
      </c>
      <c r="O27" s="41" t="n"/>
    </row>
    <row r="28" ht="150" customHeight="1" s="27">
      <c r="A28" s="45" t="inlineStr">
        <is>
          <t>交货地点 / Franco / Pengiriman</t>
        </is>
      </c>
      <c r="B28" s="90" t="n"/>
      <c r="C28" s="47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0" t="n"/>
      <c r="P28" s="49" t="n"/>
      <c r="Q28" s="49" t="n"/>
    </row>
    <row r="29" ht="46" customHeight="1" s="27">
      <c r="A29" s="50" t="inlineStr">
        <is>
          <t>Perusahaan yang memberikan penawaran
报价公司名称</t>
        </is>
      </c>
      <c r="B29" s="90" t="n"/>
      <c r="C29" s="51" t="n"/>
      <c r="D29" s="91" t="n"/>
      <c r="E29" s="91" t="n"/>
      <c r="F29" s="91" t="n"/>
      <c r="G29" s="90" t="n"/>
      <c r="H29" s="51" t="n"/>
      <c r="I29" s="52" t="inlineStr">
        <is>
          <t>Tanggal Penawaran 
报价日期</t>
        </is>
      </c>
      <c r="J29" s="90" t="n"/>
      <c r="K29" s="93" t="inlineStr">
        <is>
          <t>2026/06/30</t>
        </is>
      </c>
      <c r="L29" s="91" t="n"/>
      <c r="M29" s="91" t="n"/>
      <c r="N29" s="91" t="n"/>
      <c r="O29" s="90" t="n"/>
      <c r="P29" s="94" t="n"/>
      <c r="Q29" s="94" t="n"/>
    </row>
    <row r="30" ht="46" customHeight="1" s="27">
      <c r="A30" s="45" t="inlineStr">
        <is>
          <t>Petugas Pengisian Formulir                                                               报单人员</t>
        </is>
      </c>
      <c r="B30" s="90" t="n"/>
      <c r="C30" s="56" t="n"/>
      <c r="D30" s="91" t="n"/>
      <c r="E30" s="91" t="n"/>
      <c r="F30" s="91" t="n"/>
      <c r="G30" s="90" t="n"/>
      <c r="H30" s="56" t="n"/>
      <c r="I30" s="52" t="inlineStr">
        <is>
          <t>Petugas Pengecekkan           审查人员/紧急联系人</t>
        </is>
      </c>
      <c r="J30" s="90" t="n"/>
      <c r="K30" s="95" t="inlineStr">
        <is>
          <t>Yane Fahira：082389223344</t>
        </is>
      </c>
      <c r="L30" s="91" t="n"/>
      <c r="M30" s="91" t="n"/>
      <c r="N30" s="91" t="n"/>
      <c r="O30" s="96" t="n"/>
      <c r="P30" s="60" t="n"/>
      <c r="Q30" s="60" t="n"/>
    </row>
    <row r="31" ht="46" customHeight="1" s="27">
      <c r="A31" s="61" t="inlineStr">
        <is>
          <t>1、备注：LALAMOVE，运费客户支付（lalamove，Freight paid by the customer）
2、Delivery Time 交货时间：
3、Packaging包装：
4、Guarantee 保证：卖方保证所售商品的质量和安全，所售商品不存在任何缺陷或损坏。 买方需要在收到货物后最多 2 天检查已收到的货物。
5、Payment Methode：Pembayaran 100% sebelum pengiriman 
     付款方式： 出货前100%付款
6、Account Name 账户名称：PT. Vantsing International Group
     Account No账号：268-0321666
     Bank 银行：Bank Central Asia KCP Grogol Muwardi
     Branch 分行：Jl. Muwardi I No.44, RT.1/RW.4, Grogol, Kec. Grogol petamburan, Kota Jakarta Barat, Daerah Khusus Ibukota Jakarta 11460</t>
        </is>
      </c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0" t="n"/>
    </row>
    <row r="32" ht="46" customHeight="1" s="27">
      <c r="A32" s="64" t="inlineStr">
        <is>
          <t>This Purchase Order is made and signed on the day and date as stated, made in 2 (two) original copies signed by the parties with sufficient stamp duty, each of which has the same binding legal force.
本采购订单于规定日期签署，一式两（2）份原件，由双方签字并加盖足够的印花税，每份具有同等的法律约束力。</t>
        </is>
      </c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0" t="n"/>
    </row>
    <row r="33" ht="46" customHeight="1" s="27">
      <c r="A33" s="67" t="inlineStr">
        <is>
          <t>Buyer 购买方</t>
        </is>
      </c>
      <c r="B33" s="90" t="n"/>
      <c r="C33" s="65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0" t="n"/>
    </row>
    <row r="34" ht="46" customHeight="1" s="27">
      <c r="A34" s="69" t="inlineStr">
        <is>
          <t>Seller出售方</t>
        </is>
      </c>
      <c r="B34" s="97" t="n"/>
      <c r="C34" s="71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8" t="n"/>
      <c r="M34" s="98" t="n"/>
      <c r="N34" s="98" t="n"/>
      <c r="O34" s="97" t="n"/>
    </row>
    <row r="35" ht="46" customHeight="1" s="27">
      <c r="B35" s="73" t="n"/>
    </row>
    <row r="36" ht="46" customHeight="1" s="27">
      <c r="A36" s="73" t="n"/>
      <c r="B36" s="73" t="n"/>
    </row>
    <row r="37">
      <c r="A37" s="73" t="n"/>
      <c r="B37" s="73" t="n"/>
    </row>
  </sheetData>
  <autoFilter ref="A7:O28"/>
  <mergeCells count="30">
    <mergeCell ref="I30:J30"/>
    <mergeCell ref="A24:B24"/>
    <mergeCell ref="C30:G30"/>
    <mergeCell ref="A30:B30"/>
    <mergeCell ref="K30:O30"/>
    <mergeCell ref="C24:M24"/>
    <mergeCell ref="C29:G29"/>
    <mergeCell ref="C28:O28"/>
    <mergeCell ref="C26:M26"/>
    <mergeCell ref="K29:O29"/>
    <mergeCell ref="A25:B25"/>
    <mergeCell ref="D1:O2"/>
    <mergeCell ref="C25:M25"/>
    <mergeCell ref="A5:O5"/>
    <mergeCell ref="D4:O4"/>
    <mergeCell ref="C34:O34"/>
    <mergeCell ref="A32:O32"/>
    <mergeCell ref="A27:B27"/>
    <mergeCell ref="A4:C4"/>
    <mergeCell ref="D3:O3"/>
    <mergeCell ref="C33:O33"/>
    <mergeCell ref="A26:B26"/>
    <mergeCell ref="A33:B33"/>
    <mergeCell ref="C27:M27"/>
    <mergeCell ref="A31:O31"/>
    <mergeCell ref="I29:J29"/>
    <mergeCell ref="A29:B29"/>
    <mergeCell ref="A1:C3"/>
    <mergeCell ref="A28:B28"/>
    <mergeCell ref="A34:B34"/>
  </mergeCells>
  <printOptions horizontalCentered="1"/>
  <pageMargins left="0.751388888888889" right="0.751388888888889" top="1" bottom="1" header="0.5" footer="0.5"/>
  <pageSetup orientation="portrait" paperSize="9" scale="22" fitToHeight="0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IMIP</dc:creator>
  <dcterms:created xmlns:dcterms="http://purl.org/dc/terms/" xmlns:xsi="http://www.w3.org/2001/XMLSchema-instance" xsi:type="dcterms:W3CDTF">2015-06-25T10:17:00Z</dcterms:created>
  <dcterms:modified xmlns:dcterms="http://purl.org/dc/terms/" xmlns:xsi="http://www.w3.org/2001/XMLSchema-instance" xsi:type="dcterms:W3CDTF">2026-06-30T13:32:38Z</dcterms:modified>
  <cp:lastModifiedBy>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42C8A8CD136B46C291AA8C83DFD56932_13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